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/>
  <mc:AlternateContent xmlns:mc="http://schemas.openxmlformats.org/markup-compatibility/2006">
    <mc:Choice Requires="x15">
      <x15ac:absPath xmlns:x15ac="http://schemas.microsoft.com/office/spreadsheetml/2010/11/ac" url="C:\Users\user\Documents\PlatformIO\Projects\Lambda Shifter OTA\test\"/>
    </mc:Choice>
  </mc:AlternateContent>
  <xr:revisionPtr revIDLastSave="0" documentId="13_ncr:1_{34617840-88FD-4831-B306-39D22F3380C3}" xr6:coauthVersionLast="47" xr6:coauthVersionMax="47" xr10:uidLastSave="{00000000-0000-0000-0000-000000000000}"/>
  <bookViews>
    <workbookView xWindow="1560" yWindow="930" windowWidth="12945" windowHeight="12570" activeTab="1" xr2:uid="{00000000-000D-0000-FFFF-FFFF00000000}"/>
  </bookViews>
  <sheets>
    <sheet name="input" sheetId="1" r:id="rId1"/>
    <sheet name="output" sheetId="2" r:id="rId2"/>
    <sheet name="effec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6" i="2" l="1"/>
  <c r="L76" i="2"/>
  <c r="I77" i="2"/>
  <c r="L77" i="2"/>
  <c r="I78" i="2"/>
  <c r="L78" i="2"/>
  <c r="I79" i="2"/>
  <c r="L79" i="2"/>
  <c r="I80" i="2"/>
  <c r="L80" i="2"/>
  <c r="I81" i="2"/>
  <c r="L81" i="2"/>
  <c r="I82" i="2"/>
  <c r="L82" i="2"/>
  <c r="I83" i="2"/>
  <c r="L83" i="2"/>
  <c r="I84" i="2"/>
  <c r="L84" i="2"/>
  <c r="I85" i="2"/>
  <c r="L85" i="2"/>
  <c r="I86" i="2"/>
  <c r="L86" i="2"/>
  <c r="I87" i="2"/>
  <c r="L87" i="2"/>
  <c r="I88" i="2"/>
  <c r="L88" i="2"/>
  <c r="I89" i="2"/>
  <c r="L89" i="2"/>
  <c r="I90" i="2"/>
  <c r="L90" i="2"/>
  <c r="I91" i="2"/>
  <c r="L91" i="2"/>
  <c r="I92" i="2"/>
  <c r="L92" i="2"/>
  <c r="I93" i="2"/>
  <c r="L93" i="2"/>
  <c r="I94" i="2"/>
  <c r="L94" i="2"/>
  <c r="I95" i="2"/>
  <c r="L95" i="2"/>
  <c r="I96" i="2"/>
  <c r="L96" i="2"/>
  <c r="I97" i="2"/>
  <c r="L97" i="2"/>
  <c r="I98" i="2"/>
  <c r="L98" i="2"/>
  <c r="I99" i="2"/>
  <c r="L99" i="2"/>
  <c r="I100" i="2"/>
  <c r="L100" i="2"/>
  <c r="I101" i="2"/>
  <c r="L101" i="2"/>
  <c r="I102" i="2"/>
  <c r="L102" i="2"/>
  <c r="I103" i="2"/>
  <c r="L103" i="2"/>
  <c r="L63" i="2"/>
  <c r="I63" i="2"/>
  <c r="I64" i="2"/>
  <c r="L64" i="2"/>
  <c r="L54" i="2"/>
  <c r="L55" i="2"/>
  <c r="L56" i="2"/>
  <c r="L57" i="2"/>
  <c r="L58" i="2"/>
  <c r="L59" i="2"/>
  <c r="L60" i="2"/>
  <c r="L61" i="2"/>
  <c r="L62" i="2"/>
  <c r="L65" i="2"/>
  <c r="L66" i="2"/>
  <c r="L67" i="2"/>
  <c r="L68" i="2"/>
  <c r="I53" i="2"/>
  <c r="I54" i="2"/>
  <c r="I55" i="2"/>
  <c r="I56" i="2"/>
  <c r="I57" i="2"/>
  <c r="I58" i="2"/>
  <c r="I59" i="2"/>
  <c r="I60" i="2"/>
  <c r="I61" i="2"/>
  <c r="I62" i="2"/>
  <c r="I65" i="2"/>
  <c r="I66" i="2"/>
  <c r="I67" i="2"/>
  <c r="I68" i="2"/>
  <c r="L53" i="2"/>
  <c r="L52" i="2"/>
  <c r="I52" i="2"/>
  <c r="I51" i="2"/>
  <c r="L51" i="2"/>
  <c r="L50" i="2"/>
  <c r="I50" i="2"/>
  <c r="L69" i="2"/>
  <c r="L70" i="2"/>
  <c r="L71" i="2"/>
  <c r="L72" i="2"/>
  <c r="L73" i="2"/>
  <c r="L74" i="2"/>
  <c r="L75" i="2"/>
  <c r="I69" i="2"/>
  <c r="I70" i="2"/>
  <c r="I71" i="2"/>
  <c r="I72" i="2"/>
  <c r="I73" i="2"/>
  <c r="I74" i="2"/>
  <c r="I75" i="2"/>
  <c r="F37" i="1"/>
  <c r="I37" i="1"/>
  <c r="F38" i="1"/>
  <c r="I38" i="1"/>
  <c r="F39" i="1"/>
  <c r="I39" i="1"/>
  <c r="F40" i="1"/>
  <c r="I40" i="1"/>
  <c r="F41" i="1"/>
  <c r="I41" i="1"/>
  <c r="F42" i="1"/>
  <c r="I42" i="1"/>
  <c r="F43" i="1"/>
  <c r="I43" i="1"/>
  <c r="F44" i="1"/>
  <c r="I44" i="1"/>
  <c r="F45" i="1"/>
  <c r="I45" i="1"/>
  <c r="F46" i="1"/>
  <c r="I46" i="1"/>
  <c r="F32" i="1"/>
  <c r="I32" i="1"/>
  <c r="F33" i="1"/>
  <c r="I33" i="1"/>
  <c r="F34" i="1"/>
  <c r="I34" i="1"/>
  <c r="F35" i="1"/>
  <c r="I35" i="1"/>
  <c r="F36" i="1"/>
  <c r="I36" i="1"/>
  <c r="I46" i="2"/>
  <c r="L46" i="2"/>
  <c r="I47" i="2"/>
  <c r="L47" i="2"/>
  <c r="I48" i="2"/>
  <c r="L48" i="2"/>
  <c r="I49" i="2"/>
  <c r="L49" i="2"/>
  <c r="L45" i="2"/>
  <c r="I45" i="2"/>
  <c r="L44" i="2"/>
  <c r="I44" i="2"/>
  <c r="L43" i="2"/>
  <c r="I43" i="2"/>
  <c r="L42" i="2"/>
  <c r="I42" i="2"/>
  <c r="L41" i="2"/>
  <c r="I41" i="2"/>
  <c r="L40" i="2"/>
  <c r="I40" i="2"/>
  <c r="L39" i="2"/>
  <c r="I39" i="2"/>
  <c r="L38" i="2"/>
  <c r="I38" i="2"/>
  <c r="L37" i="2"/>
  <c r="I37" i="2"/>
  <c r="L33" i="2"/>
  <c r="L34" i="2"/>
  <c r="I33" i="2"/>
  <c r="I34" i="2"/>
  <c r="L32" i="2"/>
  <c r="I32" i="2"/>
  <c r="I31" i="2"/>
  <c r="L31" i="2"/>
  <c r="L30" i="2"/>
  <c r="I30" i="2"/>
  <c r="L4" i="2"/>
  <c r="L5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5" i="2"/>
  <c r="L36" i="2"/>
  <c r="I4" i="2"/>
  <c r="I5" i="2"/>
  <c r="L6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5" i="2"/>
  <c r="I36" i="2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6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4" i="1"/>
  <c r="I5" i="1"/>
  <c r="I4" i="1"/>
</calcChain>
</file>

<file path=xl/sharedStrings.xml><?xml version="1.0" encoding="utf-8"?>
<sst xmlns="http://schemas.openxmlformats.org/spreadsheetml/2006/main" count="185" uniqueCount="62">
  <si>
    <r>
      <t>200mV</t>
    </r>
    <r>
      <rPr>
        <sz val="11"/>
        <color theme="1"/>
        <rFont val="Meiryo UI"/>
        <family val="3"/>
        <charset val="128"/>
      </rPr>
      <t>付近</t>
    </r>
    <rPh sb="5" eb="7">
      <t>フキン</t>
    </rPh>
    <phoneticPr fontId="1"/>
  </si>
  <si>
    <r>
      <t>800mV</t>
    </r>
    <r>
      <rPr>
        <sz val="11"/>
        <color theme="1"/>
        <rFont val="Meiryo UI"/>
        <family val="3"/>
        <charset val="128"/>
      </rPr>
      <t>付近</t>
    </r>
    <rPh sb="5" eb="7">
      <t>フキン</t>
    </rPh>
    <phoneticPr fontId="1"/>
  </si>
  <si>
    <r>
      <rPr>
        <sz val="11"/>
        <color theme="1"/>
        <rFont val="Meiryo UI"/>
        <family val="3"/>
        <charset val="128"/>
      </rPr>
      <t>実測電圧</t>
    </r>
    <r>
      <rPr>
        <sz val="11"/>
        <color theme="1"/>
        <rFont val="Arial"/>
        <family val="2"/>
      </rPr>
      <t xml:space="preserve"> </t>
    </r>
    <rPh sb="0" eb="2">
      <t>ジッソク</t>
    </rPh>
    <rPh sb="2" eb="4">
      <t>デンアツ</t>
    </rPh>
    <phoneticPr fontId="1"/>
  </si>
  <si>
    <r>
      <t>LS</t>
    </r>
    <r>
      <rPr>
        <sz val="11"/>
        <color theme="1"/>
        <rFont val="Meiryo UI"/>
        <family val="3"/>
        <charset val="128"/>
      </rPr>
      <t>電圧</t>
    </r>
    <rPh sb="2" eb="4">
      <t>デンアツ</t>
    </rPh>
    <phoneticPr fontId="1"/>
  </si>
  <si>
    <r>
      <rPr>
        <sz val="11"/>
        <color theme="1"/>
        <rFont val="Meiryo UI"/>
        <family val="3"/>
        <charset val="128"/>
      </rPr>
      <t>実測電圧</t>
    </r>
    <r>
      <rPr>
        <sz val="11"/>
        <color theme="1"/>
        <rFont val="Arial"/>
        <family val="2"/>
      </rPr>
      <t xml:space="preserve"> </t>
    </r>
    <rPh sb="0" eb="4">
      <t>ジッソクデンアツ</t>
    </rPh>
    <phoneticPr fontId="1"/>
  </si>
  <si>
    <t>シリアル</t>
    <phoneticPr fontId="1"/>
  </si>
  <si>
    <t>LS20-AP0021</t>
    <phoneticPr fontId="1"/>
  </si>
  <si>
    <t>インプット キャリブレーション結果</t>
    <rPh sb="15" eb="17">
      <t>ケッカ</t>
    </rPh>
    <phoneticPr fontId="1"/>
  </si>
  <si>
    <t>アウトプット キャリブレーション結果</t>
    <rPh sb="16" eb="18">
      <t>ケッカ</t>
    </rPh>
    <phoneticPr fontId="1"/>
  </si>
  <si>
    <t>LS20-AP0021 #1</t>
    <phoneticPr fontId="1"/>
  </si>
  <si>
    <t>LS20-AP0028</t>
    <phoneticPr fontId="1"/>
  </si>
  <si>
    <t>LS20-AP0028 #1</t>
    <phoneticPr fontId="1"/>
  </si>
  <si>
    <t>LS20-AP0028 #2</t>
    <phoneticPr fontId="1"/>
  </si>
  <si>
    <t>LS20-AP0029</t>
    <phoneticPr fontId="1"/>
  </si>
  <si>
    <t>差</t>
    <rPh sb="0" eb="1">
      <t>サ</t>
    </rPh>
    <phoneticPr fontId="1"/>
  </si>
  <si>
    <t>オフセット</t>
    <phoneticPr fontId="1"/>
  </si>
  <si>
    <t>傾き</t>
    <rPh sb="0" eb="1">
      <t>カタム</t>
    </rPh>
    <phoneticPr fontId="1"/>
  </si>
  <si>
    <t>LS20-AP0029 #1</t>
    <phoneticPr fontId="1"/>
  </si>
  <si>
    <t>input</t>
    <phoneticPr fontId="1"/>
  </si>
  <si>
    <t>offset</t>
    <phoneticPr fontId="1"/>
  </si>
  <si>
    <t>fromula</t>
    <phoneticPr fontId="1"/>
  </si>
  <si>
    <t>sloap</t>
    <phoneticPr fontId="1"/>
  </si>
  <si>
    <t>output</t>
    <phoneticPr fontId="1"/>
  </si>
  <si>
    <t>200mV</t>
    <phoneticPr fontId="1"/>
  </si>
  <si>
    <t>800mV</t>
    <phoneticPr fontId="1"/>
  </si>
  <si>
    <t>誤差</t>
    <rPh sb="0" eb="1">
      <t>ゴ</t>
    </rPh>
    <rPh sb="1" eb="2">
      <t>サ</t>
    </rPh>
    <phoneticPr fontId="1"/>
  </si>
  <si>
    <t>LS20-AP0029 #2</t>
    <phoneticPr fontId="1"/>
  </si>
  <si>
    <t>LS20-AP0030</t>
    <phoneticPr fontId="1"/>
  </si>
  <si>
    <t>LS20-AP0030 #1</t>
    <phoneticPr fontId="1"/>
  </si>
  <si>
    <t>LS20-AP0030 #2</t>
    <phoneticPr fontId="1"/>
  </si>
  <si>
    <t>LS20-AP0031</t>
    <phoneticPr fontId="1"/>
  </si>
  <si>
    <t>LS20-AP0031 #1</t>
    <phoneticPr fontId="1"/>
  </si>
  <si>
    <t>だいたいVと合ってる</t>
    <rPh sb="6" eb="7">
      <t>ア</t>
    </rPh>
    <phoneticPr fontId="1"/>
  </si>
  <si>
    <t>LS20-AP0031 #2</t>
    <phoneticPr fontId="1"/>
  </si>
  <si>
    <t>電池交換</t>
    <rPh sb="0" eb="4">
      <t>デンチコウカン</t>
    </rPh>
    <phoneticPr fontId="1"/>
  </si>
  <si>
    <t>LS20-AP0032</t>
    <phoneticPr fontId="1"/>
  </si>
  <si>
    <t>LS20-AP0032 #1</t>
    <phoneticPr fontId="1"/>
  </si>
  <si>
    <t>LS20-AP0032 #2</t>
    <phoneticPr fontId="1"/>
  </si>
  <si>
    <t>LS20-AP0021 #2</t>
    <phoneticPr fontId="1"/>
  </si>
  <si>
    <t>LS20-AP0023 #1</t>
    <phoneticPr fontId="1"/>
  </si>
  <si>
    <r>
      <t>200mV</t>
    </r>
    <r>
      <rPr>
        <sz val="10"/>
        <color theme="1"/>
        <rFont val="Meiryo UI"/>
        <family val="3"/>
        <charset val="128"/>
      </rPr>
      <t>付近</t>
    </r>
    <rPh sb="5" eb="7">
      <t>フキン</t>
    </rPh>
    <phoneticPr fontId="1"/>
  </si>
  <si>
    <r>
      <t>800mV</t>
    </r>
    <r>
      <rPr>
        <sz val="10"/>
        <color theme="1"/>
        <rFont val="Meiryo UI"/>
        <family val="3"/>
        <charset val="128"/>
      </rPr>
      <t>付近</t>
    </r>
    <rPh sb="5" eb="7">
      <t>フキン</t>
    </rPh>
    <phoneticPr fontId="1"/>
  </si>
  <si>
    <t>Offset</t>
    <phoneticPr fontId="1"/>
  </si>
  <si>
    <r>
      <rPr>
        <sz val="10"/>
        <color theme="1"/>
        <rFont val="Meiryo UI"/>
        <family val="3"/>
        <charset val="128"/>
      </rPr>
      <t>入力</t>
    </r>
    <r>
      <rPr>
        <sz val="10"/>
        <color theme="1"/>
        <rFont val="Arial"/>
        <family val="2"/>
      </rPr>
      <t xml:space="preserve"> </t>
    </r>
    <rPh sb="0" eb="2">
      <t>ニュウリョク</t>
    </rPh>
    <phoneticPr fontId="1"/>
  </si>
  <si>
    <t>出力</t>
    <rPh sb="0" eb="2">
      <t>シュツリョク</t>
    </rPh>
    <phoneticPr fontId="1"/>
  </si>
  <si>
    <t>入力</t>
    <rPh sb="0" eb="2">
      <t>ニュウリョク</t>
    </rPh>
    <phoneticPr fontId="1"/>
  </si>
  <si>
    <t>vref</t>
    <phoneticPr fontId="1"/>
  </si>
  <si>
    <t>coeff_a</t>
    <phoneticPr fontId="1"/>
  </si>
  <si>
    <t>coeff_b</t>
    <phoneticPr fontId="1"/>
  </si>
  <si>
    <t>LS20-AP0022 #1</t>
    <phoneticPr fontId="1"/>
  </si>
  <si>
    <t>LS20-AP0022 #2</t>
    <phoneticPr fontId="1"/>
  </si>
  <si>
    <r>
      <t>LS20-AP0022 #</t>
    </r>
    <r>
      <rPr>
        <sz val="10"/>
        <color theme="1"/>
        <rFont val="ＭＳ Ｐゴシック"/>
        <family val="2"/>
        <charset val="128"/>
      </rPr>
      <t>１</t>
    </r>
    <phoneticPr fontId="1"/>
  </si>
  <si>
    <r>
      <t>LS20-AP0022 #</t>
    </r>
    <r>
      <rPr>
        <sz val="10"/>
        <color theme="1"/>
        <rFont val="ＭＳ Ｐゴシック"/>
        <family val="2"/>
        <charset val="128"/>
      </rPr>
      <t>２</t>
    </r>
    <phoneticPr fontId="1"/>
  </si>
  <si>
    <t>LS20-AP0023 #2</t>
    <phoneticPr fontId="1"/>
  </si>
  <si>
    <t>LS20-AP0027 #2</t>
    <phoneticPr fontId="1"/>
  </si>
  <si>
    <t>LS20-AP003１#1</t>
  </si>
  <si>
    <t>LS20-AP003１#1</t>
    <phoneticPr fontId="1"/>
  </si>
  <si>
    <t>LS20-AP0032#1</t>
    <phoneticPr fontId="1"/>
  </si>
  <si>
    <t>LS20-AP0033</t>
    <phoneticPr fontId="1"/>
  </si>
  <si>
    <t>LS20-AP0034#2</t>
    <phoneticPr fontId="1"/>
  </si>
  <si>
    <t>LS20-AP0034#1</t>
    <phoneticPr fontId="1"/>
  </si>
  <si>
    <t>LS20-AP0035#1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</si>
</sst>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sz val="11"/>
      <color theme="1"/>
      <name val="Meiryo UI"/>
      <family val="3"/>
      <charset val="128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ＭＳ Ｐゴシック"/>
      <family val="2"/>
      <charset val="128"/>
    </font>
    <font>
      <sz val="16"/>
      <color theme="1"/>
      <name val="Meiryo UI"/>
      <family val="3"/>
      <charset val="128"/>
    </font>
    <font>
      <sz val="10"/>
      <color theme="1"/>
      <name val="Meiryo UI"/>
      <family val="3"/>
      <charset val="128"/>
    </font>
    <font>
      <b/>
      <sz val="14"/>
      <color theme="1"/>
      <name val="Meiryo UI"/>
      <family val="3"/>
      <charset val="128"/>
    </font>
    <font>
      <sz val="10"/>
      <color theme="1"/>
      <name val="Arial"/>
      <family val="2"/>
      <charset val="128"/>
    </font>
    <font>
      <sz val="10"/>
      <color theme="1"/>
      <name val="ＭＳ Ｐゴシック"/>
      <family val="2"/>
      <charset val="128"/>
    </font>
    <font>
      <sz val="10"/>
      <color theme="1"/>
      <name val="游ゴシック"/>
      <family val="2"/>
      <scheme val="minor"/>
    </font>
    <font>
      <sz val="10"/>
      <color theme="1"/>
      <name val="Arial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3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4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horizontal="center"/>
    </xf>
    <xf numFmtId="0" fontId="7" fillId="0" borderId="1" xfId="0" applyFont="1" applyBorder="1" applyAlignment="1">
      <alignment vertical="center"/>
    </xf>
    <xf numFmtId="0" fontId="2" fillId="0" borderId="0" xfId="0" applyFont="1"/>
    <xf numFmtId="0" fontId="2" fillId="0" borderId="1" xfId="0" applyFont="1" applyBorder="1"/>
    <xf numFmtId="0" fontId="8" fillId="0" borderId="0" xfId="0" applyFont="1"/>
    <xf numFmtId="0" fontId="4" fillId="2" borderId="1" xfId="0" applyFont="1" applyFill="1" applyBorder="1" applyAlignment="1">
      <alignment horizontal="left"/>
    </xf>
    <xf numFmtId="0" fontId="3" fillId="2" borderId="0" xfId="0" applyFont="1" applyFill="1" applyAlignment="1">
      <alignment horizontal="center"/>
    </xf>
    <xf numFmtId="0" fontId="7" fillId="2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vertical="center"/>
    </xf>
    <xf numFmtId="0" fontId="3" fillId="3" borderId="0" xfId="0" applyFont="1" applyFill="1" applyAlignment="1">
      <alignment horizontal="center"/>
    </xf>
    <xf numFmtId="0" fontId="9" fillId="0" borderId="1" xfId="0" applyFont="1" applyBorder="1" applyAlignment="1">
      <alignment horizontal="left"/>
    </xf>
    <xf numFmtId="0" fontId="10" fillId="0" borderId="2" xfId="0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11" fillId="0" borderId="3" xfId="0" applyFont="1" applyBorder="1" applyAlignment="1">
      <alignment horizontal="center" vertical="top"/>
    </xf>
    <xf numFmtId="0" fontId="12" fillId="0" borderId="1" xfId="0" applyFont="1" applyBorder="1" applyAlignment="1">
      <alignment horizontal="center" vertical="top"/>
    </xf>
    <xf numFmtId="0" fontId="10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top"/>
    </xf>
    <xf numFmtId="0" fontId="10" fillId="0" borderId="1" xfId="0" applyFont="1" applyBorder="1" applyAlignment="1">
      <alignment horizontal="left"/>
    </xf>
    <xf numFmtId="0" fontId="10" fillId="2" borderId="1" xfId="0" applyFont="1" applyFill="1" applyBorder="1" applyAlignment="1">
      <alignment horizontal="lef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5" xfId="0" applyFont="1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6" xfId="0" applyBorder="1" applyAlignment="1">
      <alignment horizontal="center"/>
    </xf>
    <xf numFmtId="0" fontId="7" fillId="0" borderId="2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10" fillId="0" borderId="2" xfId="0" applyFont="1" applyBorder="1" applyAlignment="1">
      <alignment horizontal="center" vertical="top"/>
    </xf>
    <xf numFmtId="0" fontId="11" fillId="0" borderId="3" xfId="0" applyFont="1" applyBorder="1" applyAlignment="1">
      <alignment horizontal="center" vertical="top"/>
    </xf>
  </cellXfs>
  <cellStyles count="1">
    <cellStyle name="標準" xfId="0" builtinId="0"/>
  </cellStyles>
  <dxfs count="0"/>
  <tableStyles count="1" defaultTableStyle="TableStyleMedium2" defaultPivotStyle="PivotStyleLight16">
    <tableStyle name="Invisible" pivot="0" table="0" count="0" xr9:uid="{66C4D968-2633-4436-B3CB-99C5E0F4DD8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"/>
  <sheetViews>
    <sheetView workbookViewId="0">
      <pane ySplit="3" topLeftCell="A34" activePane="bottomLeft" state="frozen"/>
      <selection pane="bottomLeft" activeCell="E46" sqref="E46"/>
    </sheetView>
  </sheetViews>
  <sheetFormatPr defaultRowHeight="14.25" x14ac:dyDescent="0.2"/>
  <cols>
    <col min="1" max="1" width="13.75" style="2" customWidth="1"/>
    <col min="2" max="3" width="8.125" style="2" customWidth="1"/>
    <col min="4" max="8" width="10.5" style="2" customWidth="1"/>
    <col min="9" max="16384" width="9" style="2"/>
  </cols>
  <sheetData>
    <row r="1" spans="1:9" s="4" customFormat="1" ht="21" x14ac:dyDescent="0.3">
      <c r="A1" s="5" t="s">
        <v>7</v>
      </c>
    </row>
    <row r="2" spans="1:9" ht="18.75" x14ac:dyDescent="0.4">
      <c r="A2" s="34" t="s">
        <v>5</v>
      </c>
      <c r="B2" s="34" t="s">
        <v>16</v>
      </c>
      <c r="C2" s="34" t="s">
        <v>15</v>
      </c>
      <c r="D2" s="37" t="s">
        <v>0</v>
      </c>
      <c r="E2" s="38"/>
      <c r="F2" s="39"/>
      <c r="G2" s="37" t="s">
        <v>1</v>
      </c>
      <c r="H2" s="38"/>
      <c r="I2" s="40"/>
    </row>
    <row r="3" spans="1:9" ht="15.75" x14ac:dyDescent="0.2">
      <c r="A3" s="35"/>
      <c r="B3" s="36"/>
      <c r="C3" s="35"/>
      <c r="D3" s="1" t="s">
        <v>2</v>
      </c>
      <c r="E3" s="1" t="s">
        <v>3</v>
      </c>
      <c r="F3" s="6" t="s">
        <v>25</v>
      </c>
      <c r="G3" s="1" t="s">
        <v>4</v>
      </c>
      <c r="H3" s="1" t="s">
        <v>3</v>
      </c>
      <c r="I3" s="7" t="s">
        <v>25</v>
      </c>
    </row>
    <row r="4" spans="1:9" s="13" customFormat="1" x14ac:dyDescent="0.2">
      <c r="A4" s="14" t="s">
        <v>6</v>
      </c>
      <c r="B4" s="14">
        <v>3090</v>
      </c>
      <c r="C4" s="14">
        <v>9.5000000000000001E-2</v>
      </c>
      <c r="D4" s="14">
        <v>204.7</v>
      </c>
      <c r="E4" s="14">
        <v>206</v>
      </c>
      <c r="F4" s="14">
        <f>E4-D4</f>
        <v>1.3000000000000114</v>
      </c>
      <c r="G4" s="14">
        <v>808</v>
      </c>
      <c r="H4" s="14">
        <v>809</v>
      </c>
      <c r="I4" s="14">
        <f>G4-H4</f>
        <v>-1</v>
      </c>
    </row>
    <row r="5" spans="1:9" x14ac:dyDescent="0.2">
      <c r="A5" s="8" t="s">
        <v>10</v>
      </c>
      <c r="B5" s="8">
        <v>3090</v>
      </c>
      <c r="C5" s="8">
        <v>9.5000000000000001E-2</v>
      </c>
      <c r="D5" s="8">
        <v>194</v>
      </c>
      <c r="E5" s="8">
        <v>208</v>
      </c>
      <c r="F5" s="8">
        <f t="shared" ref="F5:F31" si="0">E5-D5</f>
        <v>14</v>
      </c>
      <c r="G5" s="8">
        <v>805</v>
      </c>
      <c r="H5" s="8">
        <v>875</v>
      </c>
      <c r="I5" s="8">
        <f t="shared" ref="I5" si="1">G5-H5</f>
        <v>-70</v>
      </c>
    </row>
    <row r="6" spans="1:9" x14ac:dyDescent="0.2">
      <c r="A6" s="8" t="s">
        <v>10</v>
      </c>
      <c r="B6" s="8">
        <v>3190</v>
      </c>
      <c r="C6" s="8">
        <v>0.105</v>
      </c>
      <c r="D6" s="8">
        <v>202</v>
      </c>
      <c r="E6" s="8">
        <v>223</v>
      </c>
      <c r="F6" s="8">
        <f t="shared" si="0"/>
        <v>21</v>
      </c>
      <c r="G6" s="8">
        <v>804</v>
      </c>
      <c r="H6" s="8">
        <v>860</v>
      </c>
      <c r="I6" s="8">
        <f>H6-G6</f>
        <v>56</v>
      </c>
    </row>
    <row r="7" spans="1:9" x14ac:dyDescent="0.2">
      <c r="A7" s="8" t="s">
        <v>10</v>
      </c>
      <c r="B7" s="8">
        <v>3290</v>
      </c>
      <c r="C7" s="8">
        <v>8.5000000000000006E-2</v>
      </c>
      <c r="D7" s="8">
        <v>200</v>
      </c>
      <c r="E7" s="8">
        <v>199</v>
      </c>
      <c r="F7" s="8">
        <f t="shared" si="0"/>
        <v>-1</v>
      </c>
      <c r="G7" s="8">
        <v>782</v>
      </c>
      <c r="H7" s="8">
        <v>794</v>
      </c>
      <c r="I7" s="8">
        <f t="shared" ref="I7:I31" si="2">H7-G7</f>
        <v>12</v>
      </c>
    </row>
    <row r="8" spans="1:9" x14ac:dyDescent="0.2">
      <c r="A8" s="8" t="s">
        <v>10</v>
      </c>
      <c r="B8" s="8">
        <v>3320</v>
      </c>
      <c r="C8" s="8">
        <v>0.09</v>
      </c>
      <c r="D8" s="8">
        <v>205</v>
      </c>
      <c r="E8" s="8">
        <v>206</v>
      </c>
      <c r="F8" s="8">
        <f t="shared" si="0"/>
        <v>1</v>
      </c>
      <c r="G8" s="8">
        <v>782</v>
      </c>
      <c r="H8" s="8">
        <v>793</v>
      </c>
      <c r="I8" s="8">
        <f t="shared" si="2"/>
        <v>11</v>
      </c>
    </row>
    <row r="9" spans="1:9" x14ac:dyDescent="0.2">
      <c r="A9" s="8" t="s">
        <v>10</v>
      </c>
      <c r="B9" s="8">
        <v>3330</v>
      </c>
      <c r="C9" s="8">
        <v>0.09</v>
      </c>
      <c r="D9" s="8">
        <v>205</v>
      </c>
      <c r="E9" s="8">
        <v>205</v>
      </c>
      <c r="F9" s="8">
        <f t="shared" si="0"/>
        <v>0</v>
      </c>
      <c r="G9" s="8">
        <v>805</v>
      </c>
      <c r="H9" s="8">
        <v>814</v>
      </c>
      <c r="I9" s="8">
        <f t="shared" si="2"/>
        <v>9</v>
      </c>
    </row>
    <row r="10" spans="1:9" x14ac:dyDescent="0.2">
      <c r="A10" s="8" t="s">
        <v>10</v>
      </c>
      <c r="B10" s="8">
        <v>3350</v>
      </c>
      <c r="C10" s="8">
        <v>0.09</v>
      </c>
      <c r="D10" s="8">
        <v>200</v>
      </c>
      <c r="E10" s="8">
        <v>200</v>
      </c>
      <c r="F10" s="8">
        <f t="shared" si="0"/>
        <v>0</v>
      </c>
      <c r="G10" s="8">
        <v>804</v>
      </c>
      <c r="H10" s="8">
        <v>808</v>
      </c>
      <c r="I10" s="8">
        <f t="shared" si="2"/>
        <v>4</v>
      </c>
    </row>
    <row r="11" spans="1:9" s="13" customFormat="1" x14ac:dyDescent="0.2">
      <c r="A11" s="14" t="s">
        <v>10</v>
      </c>
      <c r="B11" s="14">
        <v>3365</v>
      </c>
      <c r="C11" s="14">
        <v>0.09</v>
      </c>
      <c r="D11" s="14">
        <v>199</v>
      </c>
      <c r="E11" s="14">
        <v>200</v>
      </c>
      <c r="F11" s="14">
        <f t="shared" si="0"/>
        <v>1</v>
      </c>
      <c r="G11" s="14">
        <v>797</v>
      </c>
      <c r="H11" s="14">
        <v>798</v>
      </c>
      <c r="I11" s="14">
        <f t="shared" si="2"/>
        <v>1</v>
      </c>
    </row>
    <row r="12" spans="1:9" x14ac:dyDescent="0.2">
      <c r="A12" s="8" t="s">
        <v>13</v>
      </c>
      <c r="B12" s="8">
        <v>3365</v>
      </c>
      <c r="C12" s="8">
        <v>0.09</v>
      </c>
      <c r="D12" s="8">
        <v>212</v>
      </c>
      <c r="E12" s="8">
        <v>219</v>
      </c>
      <c r="F12" s="8">
        <f t="shared" si="0"/>
        <v>7</v>
      </c>
      <c r="G12" s="8">
        <v>794</v>
      </c>
      <c r="H12" s="8">
        <v>823</v>
      </c>
      <c r="I12" s="8">
        <f t="shared" si="2"/>
        <v>29</v>
      </c>
    </row>
    <row r="13" spans="1:9" x14ac:dyDescent="0.2">
      <c r="A13" s="8" t="s">
        <v>13</v>
      </c>
      <c r="B13" s="8">
        <v>3415</v>
      </c>
      <c r="C13" s="8">
        <v>0.1</v>
      </c>
      <c r="D13" s="8">
        <v>197</v>
      </c>
      <c r="E13" s="8">
        <v>189</v>
      </c>
      <c r="F13" s="8">
        <f t="shared" si="0"/>
        <v>-8</v>
      </c>
      <c r="G13" s="8">
        <v>808</v>
      </c>
      <c r="H13" s="8">
        <v>760</v>
      </c>
      <c r="I13" s="8">
        <f t="shared" si="2"/>
        <v>-48</v>
      </c>
    </row>
    <row r="14" spans="1:9" x14ac:dyDescent="0.2">
      <c r="A14" s="8" t="s">
        <v>13</v>
      </c>
      <c r="B14" s="8">
        <v>3380</v>
      </c>
      <c r="C14" s="8">
        <v>0.1</v>
      </c>
      <c r="D14" s="8">
        <v>197</v>
      </c>
      <c r="E14" s="8">
        <v>191</v>
      </c>
      <c r="F14" s="8">
        <f t="shared" si="0"/>
        <v>-6</v>
      </c>
      <c r="G14" s="8">
        <v>791</v>
      </c>
      <c r="H14" s="8">
        <v>748</v>
      </c>
      <c r="I14" s="8">
        <f t="shared" si="2"/>
        <v>-43</v>
      </c>
    </row>
    <row r="15" spans="1:9" x14ac:dyDescent="0.2">
      <c r="A15" s="8" t="s">
        <v>13</v>
      </c>
      <c r="B15" s="8">
        <v>3340</v>
      </c>
      <c r="C15" s="8">
        <v>0.1</v>
      </c>
      <c r="D15" s="8">
        <v>203</v>
      </c>
      <c r="E15" s="8">
        <v>199</v>
      </c>
      <c r="F15" s="8">
        <f t="shared" si="0"/>
        <v>-4</v>
      </c>
      <c r="G15" s="8">
        <v>791</v>
      </c>
      <c r="H15" s="8">
        <v>760</v>
      </c>
      <c r="I15" s="8">
        <f t="shared" si="2"/>
        <v>-31</v>
      </c>
    </row>
    <row r="16" spans="1:9" x14ac:dyDescent="0.2">
      <c r="A16" s="8" t="s">
        <v>13</v>
      </c>
      <c r="B16" s="8">
        <v>3220</v>
      </c>
      <c r="C16" s="8">
        <v>0.1</v>
      </c>
      <c r="D16" s="8">
        <v>202</v>
      </c>
      <c r="E16" s="8">
        <v>202</v>
      </c>
      <c r="F16" s="8">
        <f t="shared" si="0"/>
        <v>0</v>
      </c>
      <c r="G16" s="8">
        <v>803</v>
      </c>
      <c r="H16" s="8">
        <v>796</v>
      </c>
      <c r="I16" s="8">
        <f t="shared" si="2"/>
        <v>-7</v>
      </c>
    </row>
    <row r="17" spans="1:9" s="13" customFormat="1" x14ac:dyDescent="0.2">
      <c r="A17" s="14" t="s">
        <v>13</v>
      </c>
      <c r="B17" s="14">
        <v>3190</v>
      </c>
      <c r="C17" s="14">
        <v>0.1</v>
      </c>
      <c r="D17" s="14">
        <v>210</v>
      </c>
      <c r="E17" s="14">
        <v>212</v>
      </c>
      <c r="F17" s="14">
        <f t="shared" si="0"/>
        <v>2</v>
      </c>
      <c r="G17" s="14">
        <v>802</v>
      </c>
      <c r="H17" s="14">
        <v>802</v>
      </c>
      <c r="I17" s="14">
        <f t="shared" si="2"/>
        <v>0</v>
      </c>
    </row>
    <row r="18" spans="1:9" x14ac:dyDescent="0.2">
      <c r="A18" s="8" t="s">
        <v>13</v>
      </c>
      <c r="B18" s="8">
        <v>3190</v>
      </c>
      <c r="C18" s="8">
        <v>0.11</v>
      </c>
      <c r="D18" s="8">
        <v>188</v>
      </c>
      <c r="E18" s="8">
        <v>202</v>
      </c>
      <c r="F18" s="8">
        <f t="shared" si="0"/>
        <v>14</v>
      </c>
      <c r="G18" s="8">
        <v>802</v>
      </c>
      <c r="H18" s="8">
        <v>814</v>
      </c>
      <c r="I18" s="8">
        <f t="shared" si="2"/>
        <v>12</v>
      </c>
    </row>
    <row r="19" spans="1:9" x14ac:dyDescent="0.2">
      <c r="A19" s="8" t="s">
        <v>13</v>
      </c>
      <c r="B19" s="8">
        <v>3190</v>
      </c>
      <c r="C19" s="8">
        <v>0.12</v>
      </c>
      <c r="D19" s="8">
        <v>188</v>
      </c>
      <c r="E19" s="8">
        <v>211</v>
      </c>
      <c r="F19" s="8">
        <f t="shared" si="0"/>
        <v>23</v>
      </c>
      <c r="G19" s="8">
        <v>803</v>
      </c>
      <c r="H19" s="8">
        <v>826</v>
      </c>
      <c r="I19" s="8">
        <f t="shared" si="2"/>
        <v>23</v>
      </c>
    </row>
    <row r="20" spans="1:9" x14ac:dyDescent="0.2">
      <c r="A20" s="8" t="s">
        <v>13</v>
      </c>
      <c r="B20" s="8">
        <v>3190</v>
      </c>
      <c r="C20" s="8">
        <v>0.13</v>
      </c>
      <c r="D20" s="8">
        <v>192</v>
      </c>
      <c r="E20" s="8">
        <v>223</v>
      </c>
      <c r="F20" s="8">
        <f t="shared" si="0"/>
        <v>31</v>
      </c>
      <c r="G20" s="8">
        <v>802</v>
      </c>
      <c r="H20" s="8">
        <v>836</v>
      </c>
      <c r="I20" s="8">
        <f t="shared" si="2"/>
        <v>34</v>
      </c>
    </row>
    <row r="21" spans="1:9" x14ac:dyDescent="0.2">
      <c r="A21" s="8" t="s">
        <v>13</v>
      </c>
      <c r="B21" s="8">
        <v>3190</v>
      </c>
      <c r="C21" s="8">
        <v>0.15</v>
      </c>
      <c r="D21" s="8">
        <v>192</v>
      </c>
      <c r="E21" s="8">
        <v>244</v>
      </c>
      <c r="F21" s="8">
        <f t="shared" si="0"/>
        <v>52</v>
      </c>
      <c r="G21" s="8">
        <v>800</v>
      </c>
      <c r="H21" s="8">
        <v>850</v>
      </c>
      <c r="I21" s="8">
        <f t="shared" si="2"/>
        <v>50</v>
      </c>
    </row>
    <row r="22" spans="1:9" x14ac:dyDescent="0.2">
      <c r="A22" s="8" t="s">
        <v>13</v>
      </c>
      <c r="B22" s="8">
        <v>3180</v>
      </c>
      <c r="C22" s="8">
        <v>0.1</v>
      </c>
      <c r="D22" s="8">
        <v>200</v>
      </c>
      <c r="E22" s="8">
        <v>200</v>
      </c>
      <c r="F22" s="8">
        <f t="shared" si="0"/>
        <v>0</v>
      </c>
      <c r="G22" s="8">
        <v>800</v>
      </c>
      <c r="H22" s="8">
        <v>804</v>
      </c>
      <c r="I22" s="8">
        <f t="shared" si="2"/>
        <v>4</v>
      </c>
    </row>
    <row r="23" spans="1:9" x14ac:dyDescent="0.2">
      <c r="A23" s="8" t="s">
        <v>13</v>
      </c>
      <c r="B23" s="8">
        <v>3170</v>
      </c>
      <c r="C23" s="8">
        <v>0.1</v>
      </c>
      <c r="D23" s="8">
        <v>199</v>
      </c>
      <c r="E23" s="8">
        <v>200</v>
      </c>
      <c r="F23" s="8">
        <f t="shared" si="0"/>
        <v>1</v>
      </c>
      <c r="G23" s="8">
        <v>800</v>
      </c>
      <c r="H23" s="8">
        <v>806</v>
      </c>
      <c r="I23" s="8">
        <f t="shared" si="2"/>
        <v>6</v>
      </c>
    </row>
    <row r="24" spans="1:9" x14ac:dyDescent="0.2">
      <c r="A24" s="8" t="s">
        <v>13</v>
      </c>
      <c r="B24" s="8">
        <v>3140</v>
      </c>
      <c r="C24" s="8">
        <v>0.1</v>
      </c>
      <c r="D24" s="8">
        <v>212</v>
      </c>
      <c r="E24" s="8">
        <v>215</v>
      </c>
      <c r="F24" s="8">
        <f t="shared" si="0"/>
        <v>3</v>
      </c>
      <c r="G24" s="8">
        <v>799</v>
      </c>
      <c r="H24" s="8">
        <v>812</v>
      </c>
      <c r="I24" s="8">
        <f t="shared" si="2"/>
        <v>13</v>
      </c>
    </row>
    <row r="25" spans="1:9" s="16" customFormat="1" x14ac:dyDescent="0.2">
      <c r="A25" s="15" t="s">
        <v>13</v>
      </c>
      <c r="B25" s="15">
        <v>3090</v>
      </c>
      <c r="C25" s="15">
        <v>0.1</v>
      </c>
      <c r="D25" s="15">
        <v>212</v>
      </c>
      <c r="E25" s="15">
        <v>217</v>
      </c>
      <c r="F25" s="15">
        <f t="shared" si="0"/>
        <v>5</v>
      </c>
      <c r="G25" s="15">
        <v>801</v>
      </c>
      <c r="H25" s="15">
        <v>827</v>
      </c>
      <c r="I25" s="15">
        <f t="shared" si="2"/>
        <v>26</v>
      </c>
    </row>
    <row r="26" spans="1:9" x14ac:dyDescent="0.2">
      <c r="A26" s="8" t="s">
        <v>27</v>
      </c>
      <c r="B26" s="8">
        <v>3365</v>
      </c>
      <c r="C26" s="8">
        <v>0.09</v>
      </c>
      <c r="D26" s="8">
        <v>205</v>
      </c>
      <c r="E26" s="8">
        <v>194</v>
      </c>
      <c r="F26" s="8">
        <f t="shared" si="0"/>
        <v>-11</v>
      </c>
      <c r="G26" s="8">
        <v>800</v>
      </c>
      <c r="H26" s="8">
        <v>748</v>
      </c>
      <c r="I26" s="8">
        <f t="shared" si="2"/>
        <v>-52</v>
      </c>
    </row>
    <row r="27" spans="1:9" x14ac:dyDescent="0.2">
      <c r="A27" s="8" t="s">
        <v>27</v>
      </c>
      <c r="B27" s="8">
        <v>3190</v>
      </c>
      <c r="C27" s="8">
        <v>9.0999999999999998E-2</v>
      </c>
      <c r="D27" s="8">
        <v>217</v>
      </c>
      <c r="E27" s="8">
        <v>211</v>
      </c>
      <c r="F27" s="8">
        <f t="shared" si="0"/>
        <v>-6</v>
      </c>
      <c r="G27" s="8">
        <v>800</v>
      </c>
      <c r="H27" s="8">
        <v>783</v>
      </c>
      <c r="I27" s="8">
        <f t="shared" si="2"/>
        <v>-17</v>
      </c>
    </row>
    <row r="28" spans="1:9" x14ac:dyDescent="0.2">
      <c r="A28" s="8" t="s">
        <v>27</v>
      </c>
      <c r="B28" s="8">
        <v>3160</v>
      </c>
      <c r="C28" s="8">
        <v>9.1499999999999998E-2</v>
      </c>
      <c r="D28" s="8">
        <v>217</v>
      </c>
      <c r="E28" s="8">
        <v>216</v>
      </c>
      <c r="F28" s="8">
        <f t="shared" si="0"/>
        <v>-1</v>
      </c>
      <c r="G28" s="8">
        <v>814</v>
      </c>
      <c r="H28" s="8">
        <v>806</v>
      </c>
      <c r="I28" s="8">
        <f t="shared" si="2"/>
        <v>-8</v>
      </c>
    </row>
    <row r="29" spans="1:9" x14ac:dyDescent="0.2">
      <c r="A29" s="8" t="s">
        <v>27</v>
      </c>
      <c r="B29" s="8">
        <v>3150</v>
      </c>
      <c r="C29" s="8">
        <v>9.1999999999999998E-2</v>
      </c>
      <c r="D29" s="8">
        <v>211</v>
      </c>
      <c r="E29" s="8">
        <v>209</v>
      </c>
      <c r="F29" s="8">
        <f t="shared" si="0"/>
        <v>-2</v>
      </c>
      <c r="G29" s="8">
        <v>809</v>
      </c>
      <c r="H29" s="8">
        <v>814</v>
      </c>
      <c r="I29" s="8">
        <f t="shared" si="2"/>
        <v>5</v>
      </c>
    </row>
    <row r="30" spans="1:9" x14ac:dyDescent="0.2">
      <c r="A30" s="8" t="s">
        <v>27</v>
      </c>
      <c r="B30" s="8">
        <v>3140</v>
      </c>
      <c r="C30" s="8">
        <v>9.2999999999999999E-2</v>
      </c>
      <c r="D30" s="8">
        <v>211</v>
      </c>
      <c r="E30" s="8">
        <v>208</v>
      </c>
      <c r="F30" s="8">
        <f t="shared" si="0"/>
        <v>-3</v>
      </c>
      <c r="G30" s="8">
        <v>808</v>
      </c>
      <c r="H30" s="8">
        <v>811</v>
      </c>
      <c r="I30" s="8">
        <f t="shared" si="2"/>
        <v>3</v>
      </c>
    </row>
    <row r="31" spans="1:9" s="13" customFormat="1" x14ac:dyDescent="0.2">
      <c r="A31" s="14" t="s">
        <v>27</v>
      </c>
      <c r="B31" s="14">
        <v>3140</v>
      </c>
      <c r="C31" s="14">
        <v>9.4E-2</v>
      </c>
      <c r="D31" s="14">
        <v>212</v>
      </c>
      <c r="E31" s="14">
        <v>211</v>
      </c>
      <c r="F31" s="14">
        <f t="shared" si="0"/>
        <v>-1</v>
      </c>
      <c r="G31" s="14">
        <v>811</v>
      </c>
      <c r="H31" s="14">
        <v>811</v>
      </c>
      <c r="I31" s="14">
        <f t="shared" si="2"/>
        <v>0</v>
      </c>
    </row>
    <row r="32" spans="1:9" x14ac:dyDescent="0.2">
      <c r="A32" s="8" t="s">
        <v>30</v>
      </c>
      <c r="B32" s="8">
        <v>3090</v>
      </c>
      <c r="C32" s="8">
        <v>0.15</v>
      </c>
      <c r="D32" s="8">
        <v>200</v>
      </c>
      <c r="E32" s="8">
        <v>209</v>
      </c>
      <c r="F32" s="8">
        <f t="shared" ref="F32:F36" si="3">E32-D32</f>
        <v>9</v>
      </c>
      <c r="G32" s="8">
        <v>802</v>
      </c>
      <c r="H32" s="8">
        <v>802</v>
      </c>
      <c r="I32" s="8">
        <f t="shared" ref="I32:I36" si="4">H32-G32</f>
        <v>0</v>
      </c>
    </row>
    <row r="33" spans="1:9" x14ac:dyDescent="0.2">
      <c r="A33" s="8" t="s">
        <v>30</v>
      </c>
      <c r="B33" s="8">
        <v>3120</v>
      </c>
      <c r="C33" s="8">
        <v>0.14000000000000001</v>
      </c>
      <c r="D33" s="8">
        <v>200</v>
      </c>
      <c r="E33" s="8">
        <v>206</v>
      </c>
      <c r="F33" s="8">
        <f t="shared" si="3"/>
        <v>6</v>
      </c>
      <c r="G33" s="8">
        <v>806</v>
      </c>
      <c r="H33" s="8">
        <v>801</v>
      </c>
      <c r="I33" s="8">
        <f t="shared" si="4"/>
        <v>-5</v>
      </c>
    </row>
    <row r="34" spans="1:9" x14ac:dyDescent="0.2">
      <c r="A34" s="8" t="s">
        <v>30</v>
      </c>
      <c r="B34" s="8">
        <v>3100</v>
      </c>
      <c r="C34" s="8">
        <v>0.13500000000000001</v>
      </c>
      <c r="D34" s="8">
        <v>204</v>
      </c>
      <c r="E34" s="8">
        <v>208</v>
      </c>
      <c r="F34" s="8">
        <f t="shared" si="3"/>
        <v>4</v>
      </c>
      <c r="G34" s="8">
        <v>806</v>
      </c>
      <c r="H34" s="8">
        <v>806</v>
      </c>
      <c r="I34" s="8">
        <f t="shared" si="4"/>
        <v>0</v>
      </c>
    </row>
    <row r="35" spans="1:9" x14ac:dyDescent="0.2">
      <c r="A35" s="8" t="s">
        <v>30</v>
      </c>
      <c r="B35" s="8">
        <v>3110</v>
      </c>
      <c r="C35" s="8">
        <v>0.13</v>
      </c>
      <c r="D35" s="8">
        <v>204</v>
      </c>
      <c r="E35" s="8">
        <v>202</v>
      </c>
      <c r="F35" s="8">
        <f t="shared" si="3"/>
        <v>-2</v>
      </c>
      <c r="G35" s="8">
        <v>818</v>
      </c>
      <c r="H35" s="8">
        <v>807</v>
      </c>
      <c r="I35" s="8">
        <f t="shared" si="4"/>
        <v>-11</v>
      </c>
    </row>
    <row r="36" spans="1:9" x14ac:dyDescent="0.2">
      <c r="A36" s="8" t="s">
        <v>30</v>
      </c>
      <c r="B36" s="8">
        <v>3095</v>
      </c>
      <c r="C36" s="8">
        <v>0.13</v>
      </c>
      <c r="D36" s="8">
        <v>204</v>
      </c>
      <c r="E36" s="8">
        <v>202</v>
      </c>
      <c r="F36" s="8">
        <f t="shared" si="3"/>
        <v>-2</v>
      </c>
      <c r="G36" s="8">
        <v>819</v>
      </c>
      <c r="H36" s="8">
        <v>809</v>
      </c>
      <c r="I36" s="8">
        <f t="shared" si="4"/>
        <v>-10</v>
      </c>
    </row>
    <row r="37" spans="1:9" x14ac:dyDescent="0.2">
      <c r="A37" s="8" t="s">
        <v>30</v>
      </c>
      <c r="B37" s="8">
        <v>3080</v>
      </c>
      <c r="C37" s="8">
        <v>0.13</v>
      </c>
      <c r="D37" s="8">
        <v>202</v>
      </c>
      <c r="E37" s="8">
        <v>204</v>
      </c>
      <c r="F37" s="8">
        <f t="shared" ref="F37:F46" si="5">E37-D37</f>
        <v>2</v>
      </c>
      <c r="G37" s="8">
        <v>795</v>
      </c>
      <c r="H37" s="8">
        <v>789</v>
      </c>
      <c r="I37" s="8">
        <f t="shared" ref="I37:I46" si="6">H37-G37</f>
        <v>-6</v>
      </c>
    </row>
    <row r="38" spans="1:9" x14ac:dyDescent="0.2">
      <c r="A38" s="14" t="s">
        <v>30</v>
      </c>
      <c r="B38" s="14">
        <v>3070</v>
      </c>
      <c r="C38" s="14">
        <v>0.13</v>
      </c>
      <c r="D38" s="14">
        <v>212</v>
      </c>
      <c r="E38" s="14">
        <v>214</v>
      </c>
      <c r="F38" s="14">
        <f t="shared" si="5"/>
        <v>2</v>
      </c>
      <c r="G38" s="14">
        <v>792</v>
      </c>
      <c r="H38" s="14">
        <v>795</v>
      </c>
      <c r="I38" s="14">
        <f t="shared" si="6"/>
        <v>3</v>
      </c>
    </row>
    <row r="39" spans="1:9" x14ac:dyDescent="0.2">
      <c r="A39" s="8" t="s">
        <v>35</v>
      </c>
      <c r="B39" s="8">
        <v>3050</v>
      </c>
      <c r="C39" s="8">
        <v>0.14499999999999999</v>
      </c>
      <c r="D39" s="8">
        <v>202</v>
      </c>
      <c r="E39" s="8">
        <v>250</v>
      </c>
      <c r="F39" s="8">
        <f t="shared" si="5"/>
        <v>48</v>
      </c>
      <c r="G39" s="8">
        <v>747</v>
      </c>
      <c r="H39" s="8">
        <v>812</v>
      </c>
      <c r="I39" s="8">
        <f t="shared" si="6"/>
        <v>65</v>
      </c>
    </row>
    <row r="40" spans="1:9" x14ac:dyDescent="0.2">
      <c r="A40" s="8" t="s">
        <v>35</v>
      </c>
      <c r="B40" s="8">
        <v>3090</v>
      </c>
      <c r="C40" s="8">
        <v>9.5000000000000001E-2</v>
      </c>
      <c r="D40" s="8">
        <v>204</v>
      </c>
      <c r="E40" s="8">
        <v>199</v>
      </c>
      <c r="F40" s="8">
        <f t="shared" si="5"/>
        <v>-5</v>
      </c>
      <c r="G40" s="8">
        <v>800</v>
      </c>
      <c r="H40" s="8">
        <v>804</v>
      </c>
      <c r="I40" s="8">
        <f t="shared" si="6"/>
        <v>4</v>
      </c>
    </row>
    <row r="41" spans="1:9" s="13" customFormat="1" x14ac:dyDescent="0.2">
      <c r="A41" s="14" t="s">
        <v>35</v>
      </c>
      <c r="B41" s="14">
        <v>3130</v>
      </c>
      <c r="C41" s="14">
        <v>0.1</v>
      </c>
      <c r="D41" s="14">
        <v>203</v>
      </c>
      <c r="E41" s="14">
        <v>202</v>
      </c>
      <c r="F41" s="14">
        <f t="shared" si="5"/>
        <v>-1</v>
      </c>
      <c r="G41" s="14">
        <v>798</v>
      </c>
      <c r="H41" s="14">
        <v>797</v>
      </c>
      <c r="I41" s="14">
        <f t="shared" si="6"/>
        <v>-1</v>
      </c>
    </row>
    <row r="42" spans="1:9" x14ac:dyDescent="0.2">
      <c r="A42" s="8" t="s">
        <v>13</v>
      </c>
      <c r="B42" s="8">
        <v>3190</v>
      </c>
      <c r="C42" s="8">
        <v>0.1</v>
      </c>
      <c r="D42" s="8">
        <v>191</v>
      </c>
      <c r="E42" s="8">
        <v>209</v>
      </c>
      <c r="F42" s="8">
        <f t="shared" si="5"/>
        <v>18</v>
      </c>
      <c r="G42" s="8">
        <v>787</v>
      </c>
      <c r="H42" s="8">
        <v>801</v>
      </c>
      <c r="I42" s="8">
        <f t="shared" si="6"/>
        <v>14</v>
      </c>
    </row>
    <row r="43" spans="1:9" x14ac:dyDescent="0.2">
      <c r="A43" s="8" t="s">
        <v>13</v>
      </c>
      <c r="B43" s="8">
        <v>3210</v>
      </c>
      <c r="C43" s="8">
        <v>0.8</v>
      </c>
      <c r="D43" s="8">
        <v>205</v>
      </c>
      <c r="E43" s="8">
        <v>201</v>
      </c>
      <c r="F43" s="8">
        <f t="shared" si="5"/>
        <v>-4</v>
      </c>
      <c r="G43" s="8">
        <v>808</v>
      </c>
      <c r="H43" s="8">
        <v>797</v>
      </c>
      <c r="I43" s="8">
        <f t="shared" si="6"/>
        <v>-11</v>
      </c>
    </row>
    <row r="44" spans="1:9" x14ac:dyDescent="0.2">
      <c r="A44" s="14" t="s">
        <v>13</v>
      </c>
      <c r="B44" s="14">
        <v>3170</v>
      </c>
      <c r="C44" s="14">
        <v>0.8</v>
      </c>
      <c r="D44" s="14">
        <v>203</v>
      </c>
      <c r="E44" s="14">
        <v>199</v>
      </c>
      <c r="F44" s="14">
        <f t="shared" si="5"/>
        <v>-4</v>
      </c>
      <c r="G44" s="14">
        <v>802</v>
      </c>
      <c r="H44" s="14">
        <v>803</v>
      </c>
      <c r="I44" s="14">
        <f t="shared" si="6"/>
        <v>1</v>
      </c>
    </row>
    <row r="45" spans="1:9" x14ac:dyDescent="0.2">
      <c r="A45" s="8" t="s">
        <v>58</v>
      </c>
      <c r="B45" s="8"/>
      <c r="C45" s="8"/>
      <c r="D45" s="8">
        <v>202</v>
      </c>
      <c r="E45" s="8">
        <v>209</v>
      </c>
      <c r="F45" s="8">
        <f t="shared" si="5"/>
        <v>7</v>
      </c>
      <c r="G45" s="8">
        <v>806</v>
      </c>
      <c r="H45" s="8">
        <v>820</v>
      </c>
      <c r="I45" s="8">
        <f t="shared" si="6"/>
        <v>14</v>
      </c>
    </row>
    <row r="46" spans="1:9" x14ac:dyDescent="0.2">
      <c r="A46" s="8" t="s">
        <v>58</v>
      </c>
      <c r="B46" s="8"/>
      <c r="C46" s="8">
        <v>-9</v>
      </c>
      <c r="D46" s="8"/>
      <c r="E46" s="8"/>
      <c r="F46" s="8">
        <f t="shared" si="5"/>
        <v>0</v>
      </c>
      <c r="G46" s="8"/>
      <c r="H46" s="8"/>
      <c r="I46" s="8">
        <f t="shared" si="6"/>
        <v>0</v>
      </c>
    </row>
  </sheetData>
  <mergeCells count="5">
    <mergeCell ref="A2:A3"/>
    <mergeCell ref="B2:B3"/>
    <mergeCell ref="D2:F2"/>
    <mergeCell ref="G2:I2"/>
    <mergeCell ref="C2:C3"/>
  </mergeCells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F5158-D59E-4433-A2A6-C50553E782D2}">
  <dimension ref="A1:M103"/>
  <sheetViews>
    <sheetView tabSelected="1" workbookViewId="0">
      <pane ySplit="3" topLeftCell="A71" activePane="bottomLeft" state="frozen"/>
      <selection pane="bottomLeft" activeCell="A97" sqref="A97:L97"/>
    </sheetView>
  </sheetViews>
  <sheetFormatPr defaultRowHeight="14.25" x14ac:dyDescent="0.2"/>
  <cols>
    <col min="1" max="1" width="14.25" style="2" customWidth="1"/>
    <col min="2" max="2" width="5" style="2" customWidth="1"/>
    <col min="3" max="6" width="6.25" style="2" customWidth="1"/>
    <col min="7" max="12" width="7" style="2" customWidth="1"/>
    <col min="13" max="16384" width="9" style="2"/>
  </cols>
  <sheetData>
    <row r="1" spans="1:12" s="4" customFormat="1" ht="21" x14ac:dyDescent="0.3">
      <c r="A1" s="5" t="s">
        <v>8</v>
      </c>
    </row>
    <row r="2" spans="1:12" s="20" customFormat="1" x14ac:dyDescent="0.2">
      <c r="A2" s="41" t="s">
        <v>5</v>
      </c>
      <c r="B2" s="41" t="s">
        <v>42</v>
      </c>
      <c r="C2" s="45" t="s">
        <v>16</v>
      </c>
      <c r="D2" s="18"/>
      <c r="E2" s="18"/>
      <c r="F2" s="18"/>
      <c r="G2" s="44" t="s">
        <v>40</v>
      </c>
      <c r="H2" s="44"/>
      <c r="I2" s="19"/>
      <c r="J2" s="44" t="s">
        <v>41</v>
      </c>
      <c r="K2" s="44"/>
      <c r="L2" s="19"/>
    </row>
    <row r="3" spans="1:12" s="20" customFormat="1" ht="16.5" x14ac:dyDescent="0.2">
      <c r="A3" s="42"/>
      <c r="B3" s="43"/>
      <c r="C3" s="46"/>
      <c r="D3" s="21" t="s">
        <v>46</v>
      </c>
      <c r="E3" s="21" t="s">
        <v>47</v>
      </c>
      <c r="F3" s="21" t="s">
        <v>48</v>
      </c>
      <c r="G3" s="22" t="s">
        <v>43</v>
      </c>
      <c r="H3" s="29" t="s">
        <v>44</v>
      </c>
      <c r="I3" s="23" t="s">
        <v>14</v>
      </c>
      <c r="J3" s="29" t="s">
        <v>45</v>
      </c>
      <c r="K3" s="29" t="s">
        <v>44</v>
      </c>
      <c r="L3" s="23" t="s">
        <v>14</v>
      </c>
    </row>
    <row r="4" spans="1:12" s="20" customFormat="1" ht="12.75" x14ac:dyDescent="0.2">
      <c r="A4" s="24" t="s">
        <v>9</v>
      </c>
      <c r="B4" s="3">
        <v>-90</v>
      </c>
      <c r="C4" s="3">
        <v>8.3000000000000004E-2</v>
      </c>
      <c r="D4" s="3"/>
      <c r="E4" s="3"/>
      <c r="F4" s="3"/>
      <c r="G4" s="24">
        <v>207</v>
      </c>
      <c r="H4" s="24">
        <v>208</v>
      </c>
      <c r="I4" s="24">
        <f t="shared" ref="I4:I36" si="0">H4-G4</f>
        <v>1</v>
      </c>
      <c r="J4" s="24">
        <v>810</v>
      </c>
      <c r="K4" s="24">
        <v>820</v>
      </c>
      <c r="L4" s="24">
        <f t="shared" ref="L4:L5" si="1">K4-J4</f>
        <v>10</v>
      </c>
    </row>
    <row r="5" spans="1:12" s="20" customFormat="1" ht="12.75" x14ac:dyDescent="0.2">
      <c r="A5" s="24" t="s">
        <v>9</v>
      </c>
      <c r="B5" s="3">
        <v>-95</v>
      </c>
      <c r="C5" s="3">
        <v>8.2500000000000004E-2</v>
      </c>
      <c r="D5" s="3"/>
      <c r="E5" s="3"/>
      <c r="F5" s="3"/>
      <c r="G5" s="24">
        <v>206</v>
      </c>
      <c r="H5" s="24">
        <v>197</v>
      </c>
      <c r="I5" s="24">
        <f t="shared" si="0"/>
        <v>-9</v>
      </c>
      <c r="J5" s="24">
        <v>803</v>
      </c>
      <c r="K5" s="24">
        <v>796</v>
      </c>
      <c r="L5" s="24">
        <f t="shared" si="1"/>
        <v>-7</v>
      </c>
    </row>
    <row r="6" spans="1:12" s="20" customFormat="1" ht="12.75" x14ac:dyDescent="0.2">
      <c r="A6" s="24" t="s">
        <v>9</v>
      </c>
      <c r="B6" s="3">
        <v>-90</v>
      </c>
      <c r="C6" s="3">
        <v>8.2500000000000004E-2</v>
      </c>
      <c r="D6" s="3"/>
      <c r="E6" s="3"/>
      <c r="F6" s="3"/>
      <c r="G6" s="24">
        <v>197</v>
      </c>
      <c r="H6" s="24">
        <v>196</v>
      </c>
      <c r="I6" s="24">
        <f t="shared" si="0"/>
        <v>-1</v>
      </c>
      <c r="J6" s="24">
        <v>802</v>
      </c>
      <c r="K6" s="24">
        <v>806</v>
      </c>
      <c r="L6" s="24">
        <f>K6-J6</f>
        <v>4</v>
      </c>
    </row>
    <row r="7" spans="1:12" s="20" customFormat="1" ht="12.75" x14ac:dyDescent="0.2">
      <c r="A7" s="24" t="s">
        <v>9</v>
      </c>
      <c r="B7" s="3">
        <v>-90</v>
      </c>
      <c r="C7" s="3">
        <v>8.2000000000000003E-2</v>
      </c>
      <c r="D7" s="3"/>
      <c r="E7" s="3"/>
      <c r="F7" s="3"/>
      <c r="G7" s="24">
        <v>197</v>
      </c>
      <c r="H7" s="24">
        <v>197</v>
      </c>
      <c r="I7" s="24">
        <f t="shared" si="0"/>
        <v>0</v>
      </c>
      <c r="J7" s="24">
        <v>812</v>
      </c>
      <c r="K7" s="24">
        <v>808</v>
      </c>
      <c r="L7" s="24">
        <f t="shared" ref="L7:L36" si="2">K7-J7</f>
        <v>-4</v>
      </c>
    </row>
    <row r="8" spans="1:12" s="20" customFormat="1" ht="12.75" x14ac:dyDescent="0.2">
      <c r="A8" s="24" t="s">
        <v>9</v>
      </c>
      <c r="B8" s="3">
        <v>-90</v>
      </c>
      <c r="C8" s="3">
        <v>8.2199999999999995E-2</v>
      </c>
      <c r="D8" s="3"/>
      <c r="E8" s="3"/>
      <c r="F8" s="3"/>
      <c r="G8" s="24">
        <v>208</v>
      </c>
      <c r="H8" s="24">
        <v>209</v>
      </c>
      <c r="I8" s="24">
        <f t="shared" si="0"/>
        <v>1</v>
      </c>
      <c r="J8" s="24">
        <v>812</v>
      </c>
      <c r="K8" s="24">
        <v>809</v>
      </c>
      <c r="L8" s="24">
        <f t="shared" si="2"/>
        <v>-3</v>
      </c>
    </row>
    <row r="9" spans="1:12" s="26" customFormat="1" ht="12.75" x14ac:dyDescent="0.2">
      <c r="A9" s="25" t="s">
        <v>9</v>
      </c>
      <c r="B9" s="12">
        <v>-90</v>
      </c>
      <c r="C9" s="12">
        <v>8.2299999999999998E-2</v>
      </c>
      <c r="D9" s="12"/>
      <c r="E9" s="12"/>
      <c r="F9" s="12"/>
      <c r="G9" s="25">
        <v>207</v>
      </c>
      <c r="H9" s="25">
        <v>208</v>
      </c>
      <c r="I9" s="25">
        <f t="shared" si="0"/>
        <v>1</v>
      </c>
      <c r="J9" s="25">
        <v>799</v>
      </c>
      <c r="K9" s="25">
        <v>796</v>
      </c>
      <c r="L9" s="25">
        <f t="shared" si="2"/>
        <v>-3</v>
      </c>
    </row>
    <row r="10" spans="1:12" s="20" customFormat="1" ht="12.75" x14ac:dyDescent="0.2">
      <c r="A10" s="24" t="s">
        <v>11</v>
      </c>
      <c r="B10" s="3">
        <v>-90</v>
      </c>
      <c r="C10" s="3">
        <v>8.2299999999999998E-2</v>
      </c>
      <c r="D10" s="3"/>
      <c r="E10" s="3"/>
      <c r="F10" s="3"/>
      <c r="G10" s="24">
        <v>220</v>
      </c>
      <c r="H10" s="24">
        <v>255</v>
      </c>
      <c r="I10" s="24">
        <f t="shared" si="0"/>
        <v>35</v>
      </c>
      <c r="J10" s="24">
        <v>797</v>
      </c>
      <c r="K10" s="24">
        <v>813</v>
      </c>
      <c r="L10" s="24">
        <f t="shared" si="2"/>
        <v>16</v>
      </c>
    </row>
    <row r="11" spans="1:12" s="20" customFormat="1" ht="12.75" x14ac:dyDescent="0.2">
      <c r="A11" s="24" t="s">
        <v>11</v>
      </c>
      <c r="B11" s="3">
        <v>-120</v>
      </c>
      <c r="C11" s="3">
        <v>8.3000000000000004E-2</v>
      </c>
      <c r="D11" s="3"/>
      <c r="E11" s="3"/>
      <c r="F11" s="3"/>
      <c r="G11" s="24">
        <v>221</v>
      </c>
      <c r="H11" s="24">
        <v>218</v>
      </c>
      <c r="I11" s="24">
        <f t="shared" si="0"/>
        <v>-3</v>
      </c>
      <c r="J11" s="24">
        <v>808</v>
      </c>
      <c r="K11" s="24">
        <v>803</v>
      </c>
      <c r="L11" s="24">
        <f t="shared" si="2"/>
        <v>-5</v>
      </c>
    </row>
    <row r="12" spans="1:12" s="20" customFormat="1" ht="12.75" x14ac:dyDescent="0.2">
      <c r="A12" s="24" t="s">
        <v>11</v>
      </c>
      <c r="B12" s="3">
        <v>-115</v>
      </c>
      <c r="C12" s="3">
        <v>8.3000000000000004E-2</v>
      </c>
      <c r="D12" s="3"/>
      <c r="E12" s="3"/>
      <c r="F12" s="3"/>
      <c r="G12" s="24">
        <v>205</v>
      </c>
      <c r="H12" s="24">
        <v>219</v>
      </c>
      <c r="I12" s="24">
        <f t="shared" si="0"/>
        <v>14</v>
      </c>
      <c r="J12" s="24">
        <v>808</v>
      </c>
      <c r="K12" s="24">
        <v>811</v>
      </c>
      <c r="L12" s="24">
        <f t="shared" si="2"/>
        <v>3</v>
      </c>
    </row>
    <row r="13" spans="1:12" s="26" customFormat="1" ht="12.75" x14ac:dyDescent="0.2">
      <c r="A13" s="25" t="s">
        <v>11</v>
      </c>
      <c r="B13" s="12">
        <v>-125</v>
      </c>
      <c r="C13" s="12">
        <v>8.3500000000000005E-2</v>
      </c>
      <c r="D13" s="12"/>
      <c r="E13" s="12"/>
      <c r="F13" s="12"/>
      <c r="G13" s="25">
        <v>207</v>
      </c>
      <c r="H13" s="25">
        <v>207</v>
      </c>
      <c r="I13" s="25">
        <f t="shared" si="0"/>
        <v>0</v>
      </c>
      <c r="J13" s="25">
        <v>794</v>
      </c>
      <c r="K13" s="25">
        <v>792</v>
      </c>
      <c r="L13" s="25">
        <f t="shared" si="2"/>
        <v>-2</v>
      </c>
    </row>
    <row r="14" spans="1:12" s="20" customFormat="1" ht="12.75" x14ac:dyDescent="0.2">
      <c r="A14" s="24" t="s">
        <v>12</v>
      </c>
      <c r="B14" s="3">
        <v>-110</v>
      </c>
      <c r="C14" s="3">
        <v>8.1900000000000001E-2</v>
      </c>
      <c r="D14" s="3"/>
      <c r="E14" s="3"/>
      <c r="F14" s="3"/>
      <c r="G14" s="24">
        <v>188</v>
      </c>
      <c r="H14" s="24">
        <v>199</v>
      </c>
      <c r="I14" s="24">
        <f t="shared" si="0"/>
        <v>11</v>
      </c>
      <c r="J14" s="24">
        <v>794</v>
      </c>
      <c r="K14" s="24">
        <v>800</v>
      </c>
      <c r="L14" s="24">
        <f t="shared" si="2"/>
        <v>6</v>
      </c>
    </row>
    <row r="15" spans="1:12" s="20" customFormat="1" ht="12.75" x14ac:dyDescent="0.2">
      <c r="A15" s="24" t="s">
        <v>12</v>
      </c>
      <c r="B15" s="3">
        <v>-120</v>
      </c>
      <c r="C15" s="3">
        <v>8.2500000000000004E-2</v>
      </c>
      <c r="D15" s="3"/>
      <c r="E15" s="3"/>
      <c r="F15" s="3"/>
      <c r="G15" s="24">
        <v>188</v>
      </c>
      <c r="H15" s="24">
        <v>199</v>
      </c>
      <c r="I15" s="24">
        <f t="shared" si="0"/>
        <v>11</v>
      </c>
      <c r="J15" s="24">
        <v>809</v>
      </c>
      <c r="K15" s="24">
        <v>810</v>
      </c>
      <c r="L15" s="24">
        <f t="shared" si="2"/>
        <v>1</v>
      </c>
    </row>
    <row r="16" spans="1:12" s="20" customFormat="1" ht="12.75" x14ac:dyDescent="0.2">
      <c r="A16" s="24" t="s">
        <v>12</v>
      </c>
      <c r="B16" s="3">
        <v>-130</v>
      </c>
      <c r="C16" s="3">
        <v>8.3000000000000004E-2</v>
      </c>
      <c r="D16" s="3"/>
      <c r="E16" s="3"/>
      <c r="F16" s="3"/>
      <c r="G16" s="24">
        <v>216</v>
      </c>
      <c r="H16" s="24">
        <v>215</v>
      </c>
      <c r="I16" s="24">
        <f t="shared" si="0"/>
        <v>-1</v>
      </c>
      <c r="J16" s="24">
        <v>803</v>
      </c>
      <c r="K16" s="24">
        <v>799</v>
      </c>
      <c r="L16" s="24">
        <f t="shared" si="2"/>
        <v>-4</v>
      </c>
    </row>
    <row r="17" spans="1:12" s="20" customFormat="1" ht="12.75" x14ac:dyDescent="0.2">
      <c r="A17" s="24" t="s">
        <v>12</v>
      </c>
      <c r="B17" s="3">
        <v>-130</v>
      </c>
      <c r="C17" s="3">
        <v>8.3500000000000005E-2</v>
      </c>
      <c r="D17" s="3"/>
      <c r="E17" s="3"/>
      <c r="F17" s="3"/>
      <c r="G17" s="24">
        <v>211</v>
      </c>
      <c r="H17" s="24">
        <v>216</v>
      </c>
      <c r="I17" s="24">
        <f t="shared" si="0"/>
        <v>5</v>
      </c>
      <c r="J17" s="24">
        <v>802</v>
      </c>
      <c r="K17" s="24">
        <v>798</v>
      </c>
      <c r="L17" s="24">
        <f t="shared" si="2"/>
        <v>-4</v>
      </c>
    </row>
    <row r="18" spans="1:12" s="20" customFormat="1" ht="12.75" x14ac:dyDescent="0.2">
      <c r="A18" s="24" t="s">
        <v>12</v>
      </c>
      <c r="B18" s="3">
        <v>-140</v>
      </c>
      <c r="C18" s="3">
        <v>8.3500000000000005E-2</v>
      </c>
      <c r="D18" s="3"/>
      <c r="E18" s="3"/>
      <c r="F18" s="3"/>
      <c r="G18" s="24">
        <v>216</v>
      </c>
      <c r="H18" s="24">
        <v>215</v>
      </c>
      <c r="I18" s="24">
        <f t="shared" si="0"/>
        <v>-1</v>
      </c>
      <c r="J18" s="24">
        <v>818</v>
      </c>
      <c r="K18" s="24">
        <v>823</v>
      </c>
      <c r="L18" s="24">
        <f t="shared" si="2"/>
        <v>5</v>
      </c>
    </row>
    <row r="19" spans="1:12" s="20" customFormat="1" ht="12.75" x14ac:dyDescent="0.2">
      <c r="A19" s="24" t="s">
        <v>12</v>
      </c>
      <c r="B19" s="3">
        <v>-140</v>
      </c>
      <c r="C19" s="3">
        <v>8.3799999999999999E-2</v>
      </c>
      <c r="D19" s="3"/>
      <c r="E19" s="3"/>
      <c r="F19" s="3"/>
      <c r="G19" s="24">
        <v>229</v>
      </c>
      <c r="H19" s="24">
        <v>221</v>
      </c>
      <c r="I19" s="24">
        <f t="shared" si="0"/>
        <v>-8</v>
      </c>
      <c r="J19" s="24">
        <v>810</v>
      </c>
      <c r="K19" s="24">
        <v>811</v>
      </c>
      <c r="L19" s="24">
        <f t="shared" si="2"/>
        <v>1</v>
      </c>
    </row>
    <row r="20" spans="1:12" s="20" customFormat="1" ht="12.75" x14ac:dyDescent="0.2">
      <c r="A20" s="24" t="s">
        <v>12</v>
      </c>
      <c r="B20" s="3">
        <v>-130</v>
      </c>
      <c r="C20" s="3">
        <v>8.4000000000000005E-2</v>
      </c>
      <c r="D20" s="3"/>
      <c r="E20" s="3"/>
      <c r="F20" s="3"/>
      <c r="G20" s="24">
        <v>198</v>
      </c>
      <c r="H20" s="24">
        <v>200</v>
      </c>
      <c r="I20" s="24">
        <f t="shared" si="0"/>
        <v>2</v>
      </c>
      <c r="J20" s="24">
        <v>800</v>
      </c>
      <c r="K20" s="24">
        <v>809</v>
      </c>
      <c r="L20" s="24">
        <f t="shared" si="2"/>
        <v>9</v>
      </c>
    </row>
    <row r="21" spans="1:12" s="20" customFormat="1" ht="12.75" x14ac:dyDescent="0.2">
      <c r="A21" s="24" t="s">
        <v>12</v>
      </c>
      <c r="B21" s="3">
        <v>-120</v>
      </c>
      <c r="C21" s="3">
        <v>8.3000000000000004E-2</v>
      </c>
      <c r="D21" s="3"/>
      <c r="E21" s="3"/>
      <c r="F21" s="3"/>
      <c r="G21" s="24">
        <v>198</v>
      </c>
      <c r="H21" s="24">
        <v>200</v>
      </c>
      <c r="I21" s="24">
        <f t="shared" si="0"/>
        <v>2</v>
      </c>
      <c r="J21" s="24">
        <v>804</v>
      </c>
      <c r="K21" s="24">
        <v>809</v>
      </c>
      <c r="L21" s="24">
        <f t="shared" si="2"/>
        <v>5</v>
      </c>
    </row>
    <row r="22" spans="1:12" s="20" customFormat="1" ht="12.75" x14ac:dyDescent="0.2">
      <c r="A22" s="24" t="s">
        <v>12</v>
      </c>
      <c r="B22" s="3">
        <v>-120</v>
      </c>
      <c r="C22" s="3">
        <v>8.2699999999999996E-2</v>
      </c>
      <c r="D22" s="3"/>
      <c r="E22" s="3"/>
      <c r="F22" s="3"/>
      <c r="G22" s="24">
        <v>194</v>
      </c>
      <c r="H22" s="24">
        <v>198</v>
      </c>
      <c r="I22" s="24">
        <f t="shared" si="0"/>
        <v>4</v>
      </c>
      <c r="J22" s="24">
        <v>804</v>
      </c>
      <c r="K22" s="24">
        <v>806</v>
      </c>
      <c r="L22" s="24">
        <f t="shared" si="2"/>
        <v>2</v>
      </c>
    </row>
    <row r="23" spans="1:12" s="26" customFormat="1" ht="12.75" x14ac:dyDescent="0.2">
      <c r="A23" s="25" t="s">
        <v>12</v>
      </c>
      <c r="B23" s="12">
        <v>-125</v>
      </c>
      <c r="C23" s="12">
        <v>8.2699999999999996E-2</v>
      </c>
      <c r="D23" s="12"/>
      <c r="E23" s="12"/>
      <c r="F23" s="12"/>
      <c r="G23" s="25">
        <v>210</v>
      </c>
      <c r="H23" s="25">
        <v>211</v>
      </c>
      <c r="I23" s="25">
        <f t="shared" si="0"/>
        <v>1</v>
      </c>
      <c r="J23" s="25">
        <v>810</v>
      </c>
      <c r="K23" s="25">
        <v>809</v>
      </c>
      <c r="L23" s="25">
        <f t="shared" si="2"/>
        <v>-1</v>
      </c>
    </row>
    <row r="24" spans="1:12" s="20" customFormat="1" ht="12.75" x14ac:dyDescent="0.2">
      <c r="A24" s="24" t="s">
        <v>17</v>
      </c>
      <c r="B24" s="3">
        <v>-125</v>
      </c>
      <c r="C24" s="3">
        <v>8.3500000000000005E-2</v>
      </c>
      <c r="D24" s="3"/>
      <c r="E24" s="3"/>
      <c r="F24" s="3"/>
      <c r="G24" s="24">
        <v>212</v>
      </c>
      <c r="H24" s="24">
        <v>211</v>
      </c>
      <c r="I24" s="24">
        <f t="shared" si="0"/>
        <v>-1</v>
      </c>
      <c r="J24" s="24">
        <v>803</v>
      </c>
      <c r="K24" s="24">
        <v>821</v>
      </c>
      <c r="L24" s="24">
        <f t="shared" si="2"/>
        <v>18</v>
      </c>
    </row>
    <row r="25" spans="1:12" s="20" customFormat="1" ht="12.75" x14ac:dyDescent="0.2">
      <c r="A25" s="24" t="s">
        <v>17</v>
      </c>
      <c r="B25" s="3">
        <v>-120</v>
      </c>
      <c r="C25" s="3">
        <v>8.3500000000000005E-2</v>
      </c>
      <c r="D25" s="3"/>
      <c r="E25" s="3"/>
      <c r="F25" s="3"/>
      <c r="G25" s="24">
        <v>212</v>
      </c>
      <c r="H25" s="24">
        <v>223</v>
      </c>
      <c r="I25" s="24">
        <f t="shared" si="0"/>
        <v>11</v>
      </c>
      <c r="J25" s="24">
        <v>802</v>
      </c>
      <c r="K25" s="24">
        <v>821</v>
      </c>
      <c r="L25" s="24">
        <f t="shared" si="2"/>
        <v>19</v>
      </c>
    </row>
    <row r="26" spans="1:12" s="20" customFormat="1" ht="12.75" x14ac:dyDescent="0.2">
      <c r="A26" s="24" t="s">
        <v>17</v>
      </c>
      <c r="B26" s="3">
        <v>-115</v>
      </c>
      <c r="C26" s="3">
        <v>8.3500000000000005E-2</v>
      </c>
      <c r="D26" s="3"/>
      <c r="E26" s="3"/>
      <c r="F26" s="3"/>
      <c r="G26" s="24">
        <v>207</v>
      </c>
      <c r="H26" s="24">
        <v>225</v>
      </c>
      <c r="I26" s="24">
        <f t="shared" si="0"/>
        <v>18</v>
      </c>
      <c r="J26" s="24">
        <v>795</v>
      </c>
      <c r="K26" s="24">
        <v>820</v>
      </c>
      <c r="L26" s="24">
        <f t="shared" si="2"/>
        <v>25</v>
      </c>
    </row>
    <row r="27" spans="1:12" s="20" customFormat="1" ht="12.75" x14ac:dyDescent="0.2">
      <c r="A27" s="24" t="s">
        <v>17</v>
      </c>
      <c r="B27" s="3">
        <v>-105</v>
      </c>
      <c r="C27" s="3">
        <v>8.3500000000000005E-2</v>
      </c>
      <c r="D27" s="3"/>
      <c r="E27" s="3"/>
      <c r="F27" s="3"/>
      <c r="G27" s="24">
        <v>207</v>
      </c>
      <c r="H27" s="24">
        <v>235</v>
      </c>
      <c r="I27" s="24">
        <f t="shared" si="0"/>
        <v>28</v>
      </c>
      <c r="J27" s="24">
        <v>798</v>
      </c>
      <c r="K27" s="24">
        <v>832</v>
      </c>
      <c r="L27" s="24">
        <f t="shared" si="2"/>
        <v>34</v>
      </c>
    </row>
    <row r="28" spans="1:12" s="20" customFormat="1" ht="12.75" x14ac:dyDescent="0.2">
      <c r="A28" s="24" t="s">
        <v>17</v>
      </c>
      <c r="B28" s="3">
        <v>-75</v>
      </c>
      <c r="C28" s="3">
        <v>8.3500000000000005E-2</v>
      </c>
      <c r="D28" s="3"/>
      <c r="E28" s="3"/>
      <c r="F28" s="3"/>
      <c r="G28" s="24">
        <v>211</v>
      </c>
      <c r="H28" s="24">
        <v>260</v>
      </c>
      <c r="I28" s="24">
        <f t="shared" si="0"/>
        <v>49</v>
      </c>
      <c r="J28" s="24">
        <v>797</v>
      </c>
      <c r="K28" s="24">
        <v>856</v>
      </c>
      <c r="L28" s="24">
        <f t="shared" si="2"/>
        <v>59</v>
      </c>
    </row>
    <row r="29" spans="1:12" s="20" customFormat="1" ht="12.75" x14ac:dyDescent="0.2">
      <c r="A29" s="24" t="s">
        <v>17</v>
      </c>
      <c r="B29" s="3">
        <v>-125</v>
      </c>
      <c r="C29" s="3">
        <v>8.4000000000000005E-2</v>
      </c>
      <c r="D29" s="3"/>
      <c r="E29" s="3"/>
      <c r="F29" s="3"/>
      <c r="G29" s="24">
        <v>213</v>
      </c>
      <c r="H29" s="24">
        <v>212</v>
      </c>
      <c r="I29" s="24">
        <f t="shared" si="0"/>
        <v>-1</v>
      </c>
      <c r="J29" s="24">
        <v>797</v>
      </c>
      <c r="K29" s="24">
        <v>810</v>
      </c>
      <c r="L29" s="24">
        <f t="shared" si="2"/>
        <v>13</v>
      </c>
    </row>
    <row r="30" spans="1:12" s="20" customFormat="1" ht="12.75" x14ac:dyDescent="0.2">
      <c r="A30" s="24" t="s">
        <v>17</v>
      </c>
      <c r="B30" s="3">
        <v>-125</v>
      </c>
      <c r="C30" s="3">
        <v>8.4500000000000006E-2</v>
      </c>
      <c r="D30" s="3"/>
      <c r="E30" s="3"/>
      <c r="F30" s="3"/>
      <c r="G30" s="24">
        <v>213</v>
      </c>
      <c r="H30" s="24">
        <v>213</v>
      </c>
      <c r="I30" s="24">
        <f t="shared" si="0"/>
        <v>0</v>
      </c>
      <c r="J30" s="24">
        <v>816</v>
      </c>
      <c r="K30" s="24">
        <v>833</v>
      </c>
      <c r="L30" s="24">
        <f t="shared" si="2"/>
        <v>17</v>
      </c>
    </row>
    <row r="31" spans="1:12" s="20" customFormat="1" ht="12.75" x14ac:dyDescent="0.2">
      <c r="A31" s="24" t="s">
        <v>17</v>
      </c>
      <c r="B31" s="3">
        <v>-125</v>
      </c>
      <c r="C31" s="3">
        <v>8.5000000000000006E-2</v>
      </c>
      <c r="D31" s="3"/>
      <c r="E31" s="3"/>
      <c r="F31" s="3"/>
      <c r="G31" s="24">
        <v>208</v>
      </c>
      <c r="H31" s="24">
        <v>212</v>
      </c>
      <c r="I31" s="24">
        <f t="shared" si="0"/>
        <v>4</v>
      </c>
      <c r="J31" s="24">
        <v>812</v>
      </c>
      <c r="K31" s="24">
        <v>833</v>
      </c>
      <c r="L31" s="24">
        <f t="shared" si="2"/>
        <v>21</v>
      </c>
    </row>
    <row r="32" spans="1:12" s="20" customFormat="1" ht="12.75" x14ac:dyDescent="0.2">
      <c r="A32" s="24" t="s">
        <v>17</v>
      </c>
      <c r="B32" s="3">
        <v>-125</v>
      </c>
      <c r="C32" s="3">
        <v>8.5999999999999993E-2</v>
      </c>
      <c r="D32" s="3"/>
      <c r="E32" s="3"/>
      <c r="F32" s="3"/>
      <c r="G32" s="24">
        <v>208</v>
      </c>
      <c r="H32" s="24">
        <v>212</v>
      </c>
      <c r="I32" s="24">
        <f t="shared" si="0"/>
        <v>4</v>
      </c>
      <c r="J32" s="24">
        <v>807</v>
      </c>
      <c r="K32" s="24">
        <v>842</v>
      </c>
      <c r="L32" s="24">
        <f t="shared" si="2"/>
        <v>35</v>
      </c>
    </row>
    <row r="33" spans="1:12" s="20" customFormat="1" ht="12.75" x14ac:dyDescent="0.2">
      <c r="A33" s="24" t="s">
        <v>17</v>
      </c>
      <c r="B33" s="3">
        <v>-125</v>
      </c>
      <c r="C33" s="3">
        <v>8.8999999999999996E-2</v>
      </c>
      <c r="D33" s="3"/>
      <c r="E33" s="3"/>
      <c r="F33" s="3"/>
      <c r="G33" s="24">
        <v>209</v>
      </c>
      <c r="H33" s="24">
        <v>223</v>
      </c>
      <c r="I33" s="24">
        <f t="shared" si="0"/>
        <v>14</v>
      </c>
      <c r="J33" s="24">
        <v>805</v>
      </c>
      <c r="K33" s="24">
        <v>865</v>
      </c>
      <c r="L33" s="24">
        <f t="shared" si="2"/>
        <v>60</v>
      </c>
    </row>
    <row r="34" spans="1:12" s="20" customFormat="1" ht="12.75" x14ac:dyDescent="0.2">
      <c r="A34" s="24" t="s">
        <v>17</v>
      </c>
      <c r="B34" s="3">
        <v>-130</v>
      </c>
      <c r="C34" s="3">
        <v>8.3500000000000005E-2</v>
      </c>
      <c r="D34" s="3"/>
      <c r="E34" s="3"/>
      <c r="F34" s="3"/>
      <c r="G34" s="24">
        <v>211</v>
      </c>
      <c r="H34" s="24">
        <v>211</v>
      </c>
      <c r="I34" s="24">
        <f t="shared" si="0"/>
        <v>0</v>
      </c>
      <c r="J34" s="24">
        <v>800</v>
      </c>
      <c r="K34" s="24">
        <v>795</v>
      </c>
      <c r="L34" s="24">
        <f t="shared" si="2"/>
        <v>-5</v>
      </c>
    </row>
    <row r="35" spans="1:12" s="20" customFormat="1" ht="12.75" x14ac:dyDescent="0.2">
      <c r="A35" s="24" t="s">
        <v>17</v>
      </c>
      <c r="B35" s="3">
        <v>-130</v>
      </c>
      <c r="C35" s="3">
        <v>8.4000000000000005E-2</v>
      </c>
      <c r="D35" s="3"/>
      <c r="E35" s="3"/>
      <c r="F35" s="3"/>
      <c r="G35" s="24">
        <v>211</v>
      </c>
      <c r="H35" s="24">
        <v>211</v>
      </c>
      <c r="I35" s="24">
        <f t="shared" si="0"/>
        <v>0</v>
      </c>
      <c r="J35" s="24">
        <v>800</v>
      </c>
      <c r="K35" s="24">
        <v>807</v>
      </c>
      <c r="L35" s="24">
        <f t="shared" si="2"/>
        <v>7</v>
      </c>
    </row>
    <row r="36" spans="1:12" s="20" customFormat="1" ht="12.75" x14ac:dyDescent="0.2">
      <c r="A36" s="24" t="s">
        <v>17</v>
      </c>
      <c r="B36" s="3">
        <v>-130</v>
      </c>
      <c r="C36" s="3">
        <v>8.3699999999999997E-2</v>
      </c>
      <c r="D36" s="3"/>
      <c r="E36" s="3"/>
      <c r="F36" s="3"/>
      <c r="G36" s="24">
        <v>210</v>
      </c>
      <c r="H36" s="24">
        <v>211</v>
      </c>
      <c r="I36" s="24">
        <f t="shared" si="0"/>
        <v>1</v>
      </c>
      <c r="J36" s="24">
        <v>800</v>
      </c>
      <c r="K36" s="24">
        <v>805</v>
      </c>
      <c r="L36" s="24">
        <f t="shared" si="2"/>
        <v>5</v>
      </c>
    </row>
    <row r="37" spans="1:12" s="20" customFormat="1" ht="12.75" x14ac:dyDescent="0.2">
      <c r="A37" s="24" t="s">
        <v>17</v>
      </c>
      <c r="B37" s="3">
        <v>-130</v>
      </c>
      <c r="C37" s="3">
        <v>8.3599999999999994E-2</v>
      </c>
      <c r="D37" s="3"/>
      <c r="E37" s="3"/>
      <c r="F37" s="3"/>
      <c r="G37" s="24">
        <v>201</v>
      </c>
      <c r="H37" s="24">
        <v>197</v>
      </c>
      <c r="I37" s="24">
        <f t="shared" ref="I37:I39" si="3">H37-G37</f>
        <v>-4</v>
      </c>
      <c r="J37" s="24">
        <v>800</v>
      </c>
      <c r="K37" s="24">
        <v>805</v>
      </c>
      <c r="L37" s="24">
        <f t="shared" ref="L37:L39" si="4">K37-J37</f>
        <v>5</v>
      </c>
    </row>
    <row r="38" spans="1:12" s="26" customFormat="1" ht="12.75" x14ac:dyDescent="0.2">
      <c r="A38" s="25" t="s">
        <v>17</v>
      </c>
      <c r="B38" s="12">
        <v>-125</v>
      </c>
      <c r="C38" s="12">
        <v>8.3500000000000005E-2</v>
      </c>
      <c r="D38" s="12"/>
      <c r="E38" s="12"/>
      <c r="F38" s="12"/>
      <c r="G38" s="25">
        <v>204</v>
      </c>
      <c r="H38" s="25">
        <v>207</v>
      </c>
      <c r="I38" s="25">
        <f t="shared" si="3"/>
        <v>3</v>
      </c>
      <c r="J38" s="25">
        <v>812</v>
      </c>
      <c r="K38" s="25">
        <v>815</v>
      </c>
      <c r="L38" s="25">
        <f t="shared" si="4"/>
        <v>3</v>
      </c>
    </row>
    <row r="39" spans="1:12" s="20" customFormat="1" ht="12.75" x14ac:dyDescent="0.2">
      <c r="A39" s="24" t="s">
        <v>26</v>
      </c>
      <c r="B39" s="3">
        <v>-125</v>
      </c>
      <c r="C39" s="3">
        <v>8.2699999999999996E-2</v>
      </c>
      <c r="D39" s="3"/>
      <c r="E39" s="3"/>
      <c r="F39" s="3"/>
      <c r="G39" s="24">
        <v>200</v>
      </c>
      <c r="H39" s="24">
        <v>184</v>
      </c>
      <c r="I39" s="24">
        <f t="shared" si="3"/>
        <v>-16</v>
      </c>
      <c r="J39" s="24">
        <v>801</v>
      </c>
      <c r="K39" s="24">
        <v>785</v>
      </c>
      <c r="L39" s="24">
        <f t="shared" si="4"/>
        <v>-16</v>
      </c>
    </row>
    <row r="40" spans="1:12" s="20" customFormat="1" ht="12.75" x14ac:dyDescent="0.2">
      <c r="A40" s="24" t="s">
        <v>26</v>
      </c>
      <c r="B40" s="3">
        <v>-115</v>
      </c>
      <c r="C40" s="3">
        <v>8.2500000000000004E-2</v>
      </c>
      <c r="D40" s="3"/>
      <c r="E40" s="3"/>
      <c r="F40" s="3"/>
      <c r="G40" s="24">
        <v>206</v>
      </c>
      <c r="H40" s="24">
        <v>206</v>
      </c>
      <c r="I40" s="24">
        <f t="shared" ref="I40:I45" si="5">H40-G40</f>
        <v>0</v>
      </c>
      <c r="J40" s="24">
        <v>798</v>
      </c>
      <c r="K40" s="24">
        <v>807</v>
      </c>
      <c r="L40" s="24">
        <f t="shared" ref="L40:L45" si="6">K40-J40</f>
        <v>9</v>
      </c>
    </row>
    <row r="41" spans="1:12" s="26" customFormat="1" ht="12.75" x14ac:dyDescent="0.2">
      <c r="A41" s="25" t="s">
        <v>26</v>
      </c>
      <c r="B41" s="12">
        <v>-115</v>
      </c>
      <c r="C41" s="12">
        <v>8.3000000000000004E-2</v>
      </c>
      <c r="D41" s="12"/>
      <c r="E41" s="12"/>
      <c r="F41" s="12"/>
      <c r="G41" s="25">
        <v>217</v>
      </c>
      <c r="H41" s="25">
        <v>216</v>
      </c>
      <c r="I41" s="25">
        <f t="shared" si="5"/>
        <v>-1</v>
      </c>
      <c r="J41" s="25">
        <v>807</v>
      </c>
      <c r="K41" s="25">
        <v>806</v>
      </c>
      <c r="L41" s="25">
        <f t="shared" si="6"/>
        <v>-1</v>
      </c>
    </row>
    <row r="42" spans="1:12" s="20" customFormat="1" ht="12.75" x14ac:dyDescent="0.2">
      <c r="A42" s="24" t="s">
        <v>28</v>
      </c>
      <c r="B42" s="3">
        <v>-125</v>
      </c>
      <c r="C42" s="3">
        <v>8.3500000000000005E-2</v>
      </c>
      <c r="D42" s="3"/>
      <c r="E42" s="3"/>
      <c r="F42" s="3"/>
      <c r="G42" s="24">
        <v>223</v>
      </c>
      <c r="H42" s="24">
        <v>197</v>
      </c>
      <c r="I42" s="24">
        <f t="shared" si="5"/>
        <v>-26</v>
      </c>
      <c r="J42" s="24">
        <v>819</v>
      </c>
      <c r="K42" s="24">
        <v>805</v>
      </c>
      <c r="L42" s="24">
        <f t="shared" si="6"/>
        <v>-14</v>
      </c>
    </row>
    <row r="43" spans="1:12" s="20" customFormat="1" ht="12.75" x14ac:dyDescent="0.2">
      <c r="A43" s="24" t="s">
        <v>28</v>
      </c>
      <c r="B43" s="3">
        <v>-110</v>
      </c>
      <c r="C43" s="3">
        <v>8.4500000000000006E-2</v>
      </c>
      <c r="D43" s="3"/>
      <c r="E43" s="3"/>
      <c r="F43" s="3"/>
      <c r="G43" s="24">
        <v>218</v>
      </c>
      <c r="H43" s="24">
        <v>211</v>
      </c>
      <c r="I43" s="24">
        <f t="shared" si="5"/>
        <v>-7</v>
      </c>
      <c r="J43" s="24">
        <v>819</v>
      </c>
      <c r="K43" s="24">
        <v>830</v>
      </c>
      <c r="L43" s="24">
        <f t="shared" si="6"/>
        <v>11</v>
      </c>
    </row>
    <row r="44" spans="1:12" s="20" customFormat="1" ht="12.75" x14ac:dyDescent="0.2">
      <c r="A44" s="24" t="s">
        <v>28</v>
      </c>
      <c r="B44" s="3">
        <v>-100</v>
      </c>
      <c r="C44" s="3">
        <v>8.3000000000000004E-2</v>
      </c>
      <c r="D44" s="3"/>
      <c r="E44" s="3"/>
      <c r="F44" s="3"/>
      <c r="G44" s="24">
        <v>217</v>
      </c>
      <c r="H44" s="24">
        <v>222</v>
      </c>
      <c r="I44" s="24">
        <f t="shared" si="5"/>
        <v>5</v>
      </c>
      <c r="J44" s="24">
        <v>813</v>
      </c>
      <c r="K44" s="24">
        <v>820</v>
      </c>
      <c r="L44" s="24">
        <f t="shared" si="6"/>
        <v>7</v>
      </c>
    </row>
    <row r="45" spans="1:12" s="26" customFormat="1" ht="12.75" x14ac:dyDescent="0.2">
      <c r="A45" s="25" t="s">
        <v>28</v>
      </c>
      <c r="B45" s="12">
        <v>-105</v>
      </c>
      <c r="C45" s="12">
        <v>8.3000000000000004E-2</v>
      </c>
      <c r="D45" s="12"/>
      <c r="E45" s="12"/>
      <c r="F45" s="12"/>
      <c r="G45" s="25">
        <v>208</v>
      </c>
      <c r="H45" s="25">
        <v>210</v>
      </c>
      <c r="I45" s="25">
        <f t="shared" si="5"/>
        <v>2</v>
      </c>
      <c r="J45" s="25">
        <v>816</v>
      </c>
      <c r="K45" s="25">
        <v>819</v>
      </c>
      <c r="L45" s="25">
        <f t="shared" si="6"/>
        <v>3</v>
      </c>
    </row>
    <row r="46" spans="1:12" s="20" customFormat="1" ht="12.75" x14ac:dyDescent="0.2">
      <c r="A46" s="24" t="s">
        <v>29</v>
      </c>
      <c r="B46" s="3">
        <v>-125</v>
      </c>
      <c r="C46" s="3">
        <v>8.2699999999999996E-2</v>
      </c>
      <c r="D46" s="3"/>
      <c r="E46" s="3"/>
      <c r="F46" s="3"/>
      <c r="G46" s="24">
        <v>208</v>
      </c>
      <c r="H46" s="24">
        <v>180</v>
      </c>
      <c r="I46" s="24">
        <f t="shared" ref="I46:I75" si="7">H46-G46</f>
        <v>-28</v>
      </c>
      <c r="J46" s="24">
        <v>807</v>
      </c>
      <c r="K46" s="24">
        <v>765</v>
      </c>
      <c r="L46" s="24">
        <f t="shared" ref="L46:L75" si="8">K46-J46</f>
        <v>-42</v>
      </c>
    </row>
    <row r="47" spans="1:12" s="20" customFormat="1" ht="12.75" x14ac:dyDescent="0.2">
      <c r="A47" s="24" t="s">
        <v>29</v>
      </c>
      <c r="B47" s="3">
        <v>-105</v>
      </c>
      <c r="C47" s="3">
        <v>8.3500000000000005E-2</v>
      </c>
      <c r="D47" s="3"/>
      <c r="E47" s="3"/>
      <c r="F47" s="3"/>
      <c r="G47" s="24">
        <v>203</v>
      </c>
      <c r="H47" s="24">
        <v>193</v>
      </c>
      <c r="I47" s="24">
        <f t="shared" si="7"/>
        <v>-10</v>
      </c>
      <c r="J47" s="24">
        <v>806</v>
      </c>
      <c r="K47" s="24">
        <v>803</v>
      </c>
      <c r="L47" s="24">
        <f t="shared" si="8"/>
        <v>-3</v>
      </c>
    </row>
    <row r="48" spans="1:12" s="20" customFormat="1" ht="12.75" x14ac:dyDescent="0.2">
      <c r="A48" s="24" t="s">
        <v>29</v>
      </c>
      <c r="B48" s="3">
        <v>-100</v>
      </c>
      <c r="C48" s="3">
        <v>8.3000000000000004E-2</v>
      </c>
      <c r="D48" s="3"/>
      <c r="E48" s="3"/>
      <c r="F48" s="3"/>
      <c r="G48" s="24">
        <v>204</v>
      </c>
      <c r="H48" s="24">
        <v>206</v>
      </c>
      <c r="I48" s="24">
        <f t="shared" si="7"/>
        <v>2</v>
      </c>
      <c r="J48" s="24">
        <v>811</v>
      </c>
      <c r="K48" s="24">
        <v>808</v>
      </c>
      <c r="L48" s="24">
        <f t="shared" si="8"/>
        <v>-3</v>
      </c>
    </row>
    <row r="49" spans="1:13" s="26" customFormat="1" ht="12.75" x14ac:dyDescent="0.2">
      <c r="A49" s="25" t="s">
        <v>29</v>
      </c>
      <c r="B49" s="12">
        <v>-95</v>
      </c>
      <c r="C49" s="12">
        <v>8.3500000000000005E-2</v>
      </c>
      <c r="D49" s="12"/>
      <c r="E49" s="12"/>
      <c r="F49" s="12"/>
      <c r="G49" s="25">
        <v>214</v>
      </c>
      <c r="H49" s="25">
        <v>215</v>
      </c>
      <c r="I49" s="25">
        <f t="shared" si="7"/>
        <v>1</v>
      </c>
      <c r="J49" s="25">
        <v>798</v>
      </c>
      <c r="K49" s="25">
        <v>801</v>
      </c>
      <c r="L49" s="25">
        <f t="shared" si="8"/>
        <v>3</v>
      </c>
    </row>
    <row r="50" spans="1:13" s="20" customFormat="1" ht="12.75" x14ac:dyDescent="0.2">
      <c r="A50" s="24" t="s">
        <v>31</v>
      </c>
      <c r="B50" s="3">
        <v>-140</v>
      </c>
      <c r="C50" s="3">
        <v>8.2500000000000004E-2</v>
      </c>
      <c r="D50" s="3"/>
      <c r="E50" s="3"/>
      <c r="F50" s="3"/>
      <c r="G50" s="24">
        <v>219</v>
      </c>
      <c r="H50" s="24">
        <v>205</v>
      </c>
      <c r="I50" s="24">
        <f t="shared" si="7"/>
        <v>-14</v>
      </c>
      <c r="J50" s="24">
        <v>810</v>
      </c>
      <c r="K50" s="24">
        <v>798</v>
      </c>
      <c r="L50" s="24">
        <f t="shared" si="8"/>
        <v>-12</v>
      </c>
    </row>
    <row r="51" spans="1:13" s="20" customFormat="1" ht="12.75" x14ac:dyDescent="0.2">
      <c r="A51" s="24" t="s">
        <v>31</v>
      </c>
      <c r="B51" s="3">
        <v>-125</v>
      </c>
      <c r="C51" s="3">
        <v>8.3000000000000004E-2</v>
      </c>
      <c r="D51" s="3"/>
      <c r="E51" s="3"/>
      <c r="F51" s="3"/>
      <c r="G51" s="24">
        <v>210</v>
      </c>
      <c r="H51" s="24">
        <v>215</v>
      </c>
      <c r="I51" s="24">
        <f t="shared" si="7"/>
        <v>5</v>
      </c>
      <c r="J51" s="24">
        <v>812</v>
      </c>
      <c r="K51" s="24">
        <v>819</v>
      </c>
      <c r="L51" s="24">
        <f t="shared" si="8"/>
        <v>7</v>
      </c>
    </row>
    <row r="52" spans="1:13" s="26" customFormat="1" ht="12.75" x14ac:dyDescent="0.2">
      <c r="A52" s="25" t="s">
        <v>31</v>
      </c>
      <c r="B52" s="12">
        <v>-130</v>
      </c>
      <c r="C52" s="12">
        <v>8.3000000000000004E-2</v>
      </c>
      <c r="D52" s="12"/>
      <c r="E52" s="12"/>
      <c r="F52" s="12"/>
      <c r="G52" s="25">
        <v>204</v>
      </c>
      <c r="H52" s="25">
        <v>203</v>
      </c>
      <c r="I52" s="25">
        <f t="shared" si="7"/>
        <v>-1</v>
      </c>
      <c r="J52" s="25">
        <v>807</v>
      </c>
      <c r="K52" s="25">
        <v>808</v>
      </c>
      <c r="L52" s="25">
        <f t="shared" si="8"/>
        <v>1</v>
      </c>
    </row>
    <row r="53" spans="1:13" s="20" customFormat="1" ht="12.75" x14ac:dyDescent="0.2">
      <c r="A53" s="24" t="s">
        <v>33</v>
      </c>
      <c r="B53" s="3">
        <v>-150</v>
      </c>
      <c r="C53" s="3">
        <v>8.4500000000000006E-2</v>
      </c>
      <c r="D53" s="3"/>
      <c r="E53" s="3"/>
      <c r="F53" s="3"/>
      <c r="G53" s="24">
        <v>215</v>
      </c>
      <c r="H53" s="24">
        <v>211</v>
      </c>
      <c r="I53" s="27">
        <f t="shared" si="7"/>
        <v>-4</v>
      </c>
      <c r="J53" s="24">
        <v>790</v>
      </c>
      <c r="K53" s="24">
        <v>806</v>
      </c>
      <c r="L53" s="24">
        <f t="shared" si="8"/>
        <v>16</v>
      </c>
    </row>
    <row r="54" spans="1:13" s="26" customFormat="1" ht="12.75" x14ac:dyDescent="0.2">
      <c r="A54" s="25" t="s">
        <v>33</v>
      </c>
      <c r="B54" s="12">
        <v>-140</v>
      </c>
      <c r="C54" s="12">
        <v>8.2500000000000004E-2</v>
      </c>
      <c r="D54" s="12"/>
      <c r="E54" s="12"/>
      <c r="F54" s="12"/>
      <c r="G54" s="25">
        <v>224</v>
      </c>
      <c r="H54" s="25">
        <v>226</v>
      </c>
      <c r="I54" s="25">
        <f t="shared" si="7"/>
        <v>2</v>
      </c>
      <c r="J54" s="25">
        <v>802</v>
      </c>
      <c r="K54" s="25">
        <v>805</v>
      </c>
      <c r="L54" s="25">
        <f t="shared" si="8"/>
        <v>3</v>
      </c>
    </row>
    <row r="55" spans="1:13" s="20" customFormat="1" ht="12.75" x14ac:dyDescent="0.2">
      <c r="A55" s="24" t="s">
        <v>36</v>
      </c>
      <c r="B55" s="3">
        <v>-90</v>
      </c>
      <c r="C55" s="3">
        <v>8.2299999999999998E-2</v>
      </c>
      <c r="D55" s="3"/>
      <c r="E55" s="3"/>
      <c r="F55" s="3"/>
      <c r="G55" s="24">
        <v>213</v>
      </c>
      <c r="H55" s="24">
        <v>213</v>
      </c>
      <c r="I55" s="24">
        <f t="shared" si="7"/>
        <v>0</v>
      </c>
      <c r="J55" s="24">
        <v>799</v>
      </c>
      <c r="K55" s="24">
        <v>791</v>
      </c>
      <c r="L55" s="24">
        <f t="shared" si="8"/>
        <v>-8</v>
      </c>
    </row>
    <row r="56" spans="1:13" s="20" customFormat="1" ht="12.75" x14ac:dyDescent="0.2">
      <c r="A56" s="24" t="s">
        <v>37</v>
      </c>
      <c r="B56" s="3">
        <v>-110</v>
      </c>
      <c r="C56" s="3">
        <v>8.2500000000000004E-2</v>
      </c>
      <c r="D56" s="3"/>
      <c r="E56" s="3"/>
      <c r="F56" s="3"/>
      <c r="G56" s="24">
        <v>218</v>
      </c>
      <c r="H56" s="24">
        <v>233</v>
      </c>
      <c r="I56" s="27">
        <f t="shared" si="7"/>
        <v>15</v>
      </c>
      <c r="J56" s="24">
        <v>795</v>
      </c>
      <c r="K56" s="24">
        <v>796</v>
      </c>
      <c r="L56" s="24">
        <f t="shared" si="8"/>
        <v>1</v>
      </c>
    </row>
    <row r="57" spans="1:13" s="20" customFormat="1" ht="12.75" x14ac:dyDescent="0.2">
      <c r="A57" s="25" t="s">
        <v>37</v>
      </c>
      <c r="B57" s="12">
        <v>-125</v>
      </c>
      <c r="C57" s="12">
        <v>8.3500000000000005E-2</v>
      </c>
      <c r="D57" s="12"/>
      <c r="E57" s="12"/>
      <c r="F57" s="12"/>
      <c r="G57" s="25">
        <v>256</v>
      </c>
      <c r="H57" s="25">
        <v>258</v>
      </c>
      <c r="I57" s="25">
        <f t="shared" si="7"/>
        <v>2</v>
      </c>
      <c r="J57" s="25">
        <v>795</v>
      </c>
      <c r="K57" s="25">
        <v>797</v>
      </c>
      <c r="L57" s="25">
        <f t="shared" si="8"/>
        <v>2</v>
      </c>
    </row>
    <row r="58" spans="1:13" s="20" customFormat="1" ht="12.75" x14ac:dyDescent="0.2">
      <c r="A58" s="24" t="s">
        <v>38</v>
      </c>
      <c r="B58" s="3">
        <v>-110</v>
      </c>
      <c r="C58" s="3">
        <v>8.1900000000000001E-2</v>
      </c>
      <c r="D58" s="3"/>
      <c r="E58" s="3"/>
      <c r="F58" s="3"/>
      <c r="G58" s="24">
        <v>201</v>
      </c>
      <c r="H58" s="24">
        <v>217</v>
      </c>
      <c r="I58" s="27">
        <f t="shared" si="7"/>
        <v>16</v>
      </c>
      <c r="J58" s="24">
        <v>807</v>
      </c>
      <c r="K58" s="24">
        <v>820</v>
      </c>
      <c r="L58" s="24">
        <f t="shared" si="8"/>
        <v>13</v>
      </c>
    </row>
    <row r="59" spans="1:13" s="20" customFormat="1" ht="12.75" x14ac:dyDescent="0.2">
      <c r="A59" s="24" t="s">
        <v>38</v>
      </c>
      <c r="B59" s="17">
        <v>-125</v>
      </c>
      <c r="C59" s="3">
        <v>8.2000000000000003E-2</v>
      </c>
      <c r="D59" s="3"/>
      <c r="E59" s="3"/>
      <c r="F59" s="3"/>
      <c r="G59" s="24">
        <v>196</v>
      </c>
      <c r="H59" s="24">
        <v>199</v>
      </c>
      <c r="I59" s="27">
        <f t="shared" si="7"/>
        <v>3</v>
      </c>
      <c r="J59" s="24">
        <v>814</v>
      </c>
      <c r="K59" s="24">
        <v>812</v>
      </c>
      <c r="L59" s="24">
        <f t="shared" si="8"/>
        <v>-2</v>
      </c>
    </row>
    <row r="60" spans="1:13" s="20" customFormat="1" ht="12.75" x14ac:dyDescent="0.2">
      <c r="A60" s="24" t="s">
        <v>39</v>
      </c>
      <c r="B60" s="3">
        <v>-90</v>
      </c>
      <c r="C60" s="3">
        <v>8.4000000000000005E-2</v>
      </c>
      <c r="D60" s="3">
        <v>1135</v>
      </c>
      <c r="E60" s="3">
        <v>29228</v>
      </c>
      <c r="F60" s="3">
        <v>107</v>
      </c>
      <c r="G60" s="24">
        <v>203</v>
      </c>
      <c r="H60" s="24">
        <v>192</v>
      </c>
      <c r="I60" s="27">
        <f t="shared" si="7"/>
        <v>-11</v>
      </c>
      <c r="J60" s="24">
        <v>800</v>
      </c>
      <c r="K60" s="24">
        <v>780</v>
      </c>
      <c r="L60" s="24">
        <f t="shared" si="8"/>
        <v>-20</v>
      </c>
    </row>
    <row r="61" spans="1:13" s="20" customFormat="1" ht="12.75" x14ac:dyDescent="0.2">
      <c r="A61" s="24" t="s">
        <v>39</v>
      </c>
      <c r="B61" s="3">
        <v>-100</v>
      </c>
      <c r="C61" s="3">
        <v>8.3000000000000004E-2</v>
      </c>
      <c r="D61" s="3">
        <v>1135</v>
      </c>
      <c r="E61" s="3">
        <v>29228</v>
      </c>
      <c r="F61" s="3">
        <v>107</v>
      </c>
      <c r="G61" s="24">
        <v>200</v>
      </c>
      <c r="H61" s="24">
        <v>193</v>
      </c>
      <c r="I61" s="27">
        <f t="shared" si="7"/>
        <v>-7</v>
      </c>
      <c r="J61" s="24">
        <v>800</v>
      </c>
      <c r="K61" s="24">
        <v>802</v>
      </c>
      <c r="L61" s="24">
        <f t="shared" si="8"/>
        <v>2</v>
      </c>
      <c r="M61" s="28" t="s">
        <v>34</v>
      </c>
    </row>
    <row r="62" spans="1:13" s="20" customFormat="1" ht="12.75" x14ac:dyDescent="0.2">
      <c r="A62" s="24" t="s">
        <v>49</v>
      </c>
      <c r="B62" s="3">
        <v>-80</v>
      </c>
      <c r="C62" s="3">
        <v>8.2100000000000006E-2</v>
      </c>
      <c r="D62" s="3">
        <v>1114</v>
      </c>
      <c r="E62" s="3">
        <v>20738</v>
      </c>
      <c r="F62" s="3">
        <v>78</v>
      </c>
      <c r="G62" s="24">
        <v>200</v>
      </c>
      <c r="H62" s="24">
        <v>200</v>
      </c>
      <c r="I62" s="24">
        <f t="shared" si="7"/>
        <v>0</v>
      </c>
      <c r="J62" s="24">
        <v>800</v>
      </c>
      <c r="K62" s="24">
        <v>810</v>
      </c>
      <c r="L62" s="24">
        <f t="shared" si="8"/>
        <v>10</v>
      </c>
    </row>
    <row r="63" spans="1:13" s="20" customFormat="1" ht="12.75" x14ac:dyDescent="0.2">
      <c r="A63" s="25" t="s">
        <v>49</v>
      </c>
      <c r="B63" s="12">
        <v>-85</v>
      </c>
      <c r="C63" s="12">
        <v>8.3000000000000004E-2</v>
      </c>
      <c r="D63" s="12">
        <v>1114</v>
      </c>
      <c r="E63" s="12">
        <v>20738</v>
      </c>
      <c r="F63" s="12">
        <v>78</v>
      </c>
      <c r="G63" s="25">
        <v>203</v>
      </c>
      <c r="H63" s="25">
        <v>203</v>
      </c>
      <c r="I63" s="25">
        <f t="shared" ref="I63" si="9">H63-G63</f>
        <v>0</v>
      </c>
      <c r="J63" s="25">
        <v>819</v>
      </c>
      <c r="K63" s="25">
        <v>821</v>
      </c>
      <c r="L63" s="25">
        <f t="shared" ref="L63" si="10">K63-J63</f>
        <v>2</v>
      </c>
    </row>
    <row r="64" spans="1:13" s="20" customFormat="1" ht="12.75" x14ac:dyDescent="0.2">
      <c r="A64" s="24" t="s">
        <v>50</v>
      </c>
      <c r="B64" s="3">
        <v>-110</v>
      </c>
      <c r="C64" s="3">
        <v>8.1699999999999995E-2</v>
      </c>
      <c r="D64" s="3">
        <v>1114</v>
      </c>
      <c r="E64" s="3">
        <v>20738</v>
      </c>
      <c r="F64" s="3">
        <v>78</v>
      </c>
      <c r="G64" s="24">
        <v>200</v>
      </c>
      <c r="H64" s="24">
        <v>200</v>
      </c>
      <c r="I64" s="24">
        <f t="shared" si="7"/>
        <v>0</v>
      </c>
      <c r="J64" s="24">
        <v>799</v>
      </c>
      <c r="K64" s="24">
        <v>791</v>
      </c>
      <c r="L64" s="24">
        <f t="shared" si="8"/>
        <v>-8</v>
      </c>
    </row>
    <row r="65" spans="1:12" s="20" customFormat="1" ht="12.75" x14ac:dyDescent="0.2">
      <c r="A65" s="24" t="s">
        <v>50</v>
      </c>
      <c r="B65" s="3">
        <v>-105</v>
      </c>
      <c r="C65" s="3">
        <v>8.2500000000000004E-2</v>
      </c>
      <c r="D65" s="3">
        <v>1114</v>
      </c>
      <c r="E65" s="3">
        <v>20738</v>
      </c>
      <c r="F65" s="3">
        <v>78</v>
      </c>
      <c r="G65" s="24">
        <v>202</v>
      </c>
      <c r="H65" s="24">
        <v>200</v>
      </c>
      <c r="I65" s="27">
        <f t="shared" si="7"/>
        <v>-2</v>
      </c>
      <c r="J65" s="24">
        <v>791</v>
      </c>
      <c r="K65" s="24">
        <v>801</v>
      </c>
      <c r="L65" s="24">
        <f t="shared" si="8"/>
        <v>10</v>
      </c>
    </row>
    <row r="66" spans="1:12" s="26" customFormat="1" ht="12.75" x14ac:dyDescent="0.2">
      <c r="A66" s="25" t="s">
        <v>50</v>
      </c>
      <c r="B66" s="12">
        <v>-105</v>
      </c>
      <c r="C66" s="12">
        <v>8.3000000000000004E-2</v>
      </c>
      <c r="D66" s="12">
        <v>1114</v>
      </c>
      <c r="E66" s="12">
        <v>20738</v>
      </c>
      <c r="F66" s="12">
        <v>78</v>
      </c>
      <c r="G66" s="25">
        <v>202</v>
      </c>
      <c r="H66" s="25">
        <v>200</v>
      </c>
      <c r="I66" s="25">
        <f t="shared" si="7"/>
        <v>-2</v>
      </c>
      <c r="J66" s="25">
        <v>805</v>
      </c>
      <c r="K66" s="25">
        <v>804</v>
      </c>
      <c r="L66" s="25">
        <f t="shared" si="8"/>
        <v>-1</v>
      </c>
    </row>
    <row r="67" spans="1:12" s="20" customFormat="1" ht="12.75" x14ac:dyDescent="0.2">
      <c r="A67" s="24" t="s">
        <v>51</v>
      </c>
      <c r="B67" s="3">
        <v>-90</v>
      </c>
      <c r="C67" s="3">
        <v>8.3000000000000004E-2</v>
      </c>
      <c r="D67" s="3"/>
      <c r="E67" s="3"/>
      <c r="F67" s="3"/>
      <c r="G67" s="24">
        <v>197</v>
      </c>
      <c r="H67" s="24">
        <v>184</v>
      </c>
      <c r="I67" s="27">
        <f t="shared" si="7"/>
        <v>-13</v>
      </c>
      <c r="J67" s="24">
        <v>800</v>
      </c>
      <c r="K67" s="24">
        <v>788</v>
      </c>
      <c r="L67" s="24">
        <f t="shared" si="8"/>
        <v>-12</v>
      </c>
    </row>
    <row r="68" spans="1:12" s="26" customFormat="1" ht="12.75" x14ac:dyDescent="0.2">
      <c r="A68" s="25" t="s">
        <v>51</v>
      </c>
      <c r="B68" s="12">
        <v>-75</v>
      </c>
      <c r="C68" s="12">
        <v>8.2500000000000004E-2</v>
      </c>
      <c r="D68" s="12"/>
      <c r="E68" s="12"/>
      <c r="F68" s="12"/>
      <c r="G68" s="25">
        <v>197</v>
      </c>
      <c r="H68" s="25">
        <v>197</v>
      </c>
      <c r="I68" s="25">
        <f t="shared" si="7"/>
        <v>0</v>
      </c>
      <c r="J68" s="25">
        <v>800</v>
      </c>
      <c r="K68" s="25">
        <v>799</v>
      </c>
      <c r="L68" s="25">
        <f t="shared" si="8"/>
        <v>-1</v>
      </c>
    </row>
    <row r="69" spans="1:12" s="20" customFormat="1" ht="12.75" x14ac:dyDescent="0.2">
      <c r="A69" s="24" t="s">
        <v>52</v>
      </c>
      <c r="B69" s="30">
        <v>-125</v>
      </c>
      <c r="C69" s="3">
        <v>8.3000000000000004E-2</v>
      </c>
      <c r="D69" s="3"/>
      <c r="E69" s="3"/>
      <c r="F69" s="3"/>
      <c r="G69" s="24">
        <v>202</v>
      </c>
      <c r="H69" s="24">
        <v>190</v>
      </c>
      <c r="I69" s="24">
        <f t="shared" si="7"/>
        <v>-12</v>
      </c>
      <c r="J69" s="24">
        <v>800</v>
      </c>
      <c r="K69" s="24">
        <v>777</v>
      </c>
      <c r="L69" s="24">
        <f t="shared" si="8"/>
        <v>-23</v>
      </c>
    </row>
    <row r="70" spans="1:12" s="20" customFormat="1" ht="12.75" x14ac:dyDescent="0.2">
      <c r="A70" s="24" t="s">
        <v>52</v>
      </c>
      <c r="B70" s="30">
        <v>-115</v>
      </c>
      <c r="C70" s="3">
        <v>8.4500000000000006E-2</v>
      </c>
      <c r="D70" s="3"/>
      <c r="E70" s="3"/>
      <c r="F70" s="3"/>
      <c r="G70" s="24">
        <v>203</v>
      </c>
      <c r="H70" s="24">
        <v>190</v>
      </c>
      <c r="I70" s="24">
        <f t="shared" si="7"/>
        <v>-13</v>
      </c>
      <c r="J70" s="24">
        <v>800</v>
      </c>
      <c r="K70" s="24">
        <v>802</v>
      </c>
      <c r="L70" s="24">
        <f t="shared" si="8"/>
        <v>2</v>
      </c>
    </row>
    <row r="71" spans="1:12" s="26" customFormat="1" ht="12.75" x14ac:dyDescent="0.2">
      <c r="A71" s="25" t="s">
        <v>52</v>
      </c>
      <c r="B71" s="12">
        <v>-100</v>
      </c>
      <c r="C71" s="12">
        <v>8.3000000000000004E-2</v>
      </c>
      <c r="D71" s="12"/>
      <c r="E71" s="12"/>
      <c r="F71" s="12"/>
      <c r="G71" s="25">
        <v>199</v>
      </c>
      <c r="H71" s="25">
        <v>202</v>
      </c>
      <c r="I71" s="25">
        <f t="shared" si="7"/>
        <v>3</v>
      </c>
      <c r="J71" s="25">
        <v>800</v>
      </c>
      <c r="K71" s="25">
        <v>802</v>
      </c>
      <c r="L71" s="25">
        <f t="shared" si="8"/>
        <v>2</v>
      </c>
    </row>
    <row r="72" spans="1:12" s="20" customFormat="1" ht="12.75" x14ac:dyDescent="0.2">
      <c r="A72" s="24" t="s">
        <v>39</v>
      </c>
      <c r="B72" s="30">
        <v>-105</v>
      </c>
      <c r="C72" s="3">
        <v>8.2500000000000004E-2</v>
      </c>
      <c r="D72" s="3"/>
      <c r="E72" s="3"/>
      <c r="F72" s="3"/>
      <c r="G72" s="24">
        <v>204</v>
      </c>
      <c r="H72" s="24">
        <v>180</v>
      </c>
      <c r="I72" s="24">
        <f t="shared" si="7"/>
        <v>-24</v>
      </c>
      <c r="J72" s="24">
        <v>804</v>
      </c>
      <c r="K72" s="24">
        <v>789</v>
      </c>
      <c r="L72" s="24">
        <f t="shared" si="8"/>
        <v>-15</v>
      </c>
    </row>
    <row r="73" spans="1:12" s="26" customFormat="1" ht="12.75" x14ac:dyDescent="0.2">
      <c r="A73" s="25" t="s">
        <v>39</v>
      </c>
      <c r="B73" s="31">
        <v>-85</v>
      </c>
      <c r="C73" s="12">
        <v>8.2500000000000004E-2</v>
      </c>
      <c r="D73" s="12"/>
      <c r="E73" s="12"/>
      <c r="F73" s="12"/>
      <c r="G73" s="25">
        <v>202</v>
      </c>
      <c r="H73" s="25">
        <v>205</v>
      </c>
      <c r="I73" s="25">
        <f t="shared" si="7"/>
        <v>3</v>
      </c>
      <c r="J73" s="25">
        <v>800</v>
      </c>
      <c r="K73" s="25">
        <v>802</v>
      </c>
      <c r="L73" s="25">
        <f t="shared" si="8"/>
        <v>2</v>
      </c>
    </row>
    <row r="74" spans="1:12" s="26" customFormat="1" ht="12.75" x14ac:dyDescent="0.2">
      <c r="A74" s="25" t="s">
        <v>53</v>
      </c>
      <c r="B74" s="12">
        <v>-85</v>
      </c>
      <c r="C74" s="12">
        <v>8.3500000000000005E-2</v>
      </c>
      <c r="D74" s="12"/>
      <c r="E74" s="12"/>
      <c r="F74" s="12"/>
      <c r="G74" s="25">
        <v>215</v>
      </c>
      <c r="H74" s="25">
        <v>201</v>
      </c>
      <c r="I74" s="25">
        <f t="shared" si="7"/>
        <v>-14</v>
      </c>
      <c r="J74" s="25">
        <v>822</v>
      </c>
      <c r="K74" s="25">
        <v>808</v>
      </c>
      <c r="L74" s="25">
        <f t="shared" si="8"/>
        <v>-14</v>
      </c>
    </row>
    <row r="75" spans="1:12" s="20" customFormat="1" ht="12.75" x14ac:dyDescent="0.2">
      <c r="A75" s="24" t="s">
        <v>12</v>
      </c>
      <c r="B75" s="3">
        <v>-125</v>
      </c>
      <c r="C75" s="3">
        <v>8.2699999999999996E-2</v>
      </c>
      <c r="D75" s="3">
        <v>1079</v>
      </c>
      <c r="E75" s="3">
        <v>20082</v>
      </c>
      <c r="F75" s="3">
        <v>78</v>
      </c>
      <c r="G75" s="24">
        <v>215</v>
      </c>
      <c r="H75" s="24">
        <v>196</v>
      </c>
      <c r="I75" s="24">
        <f t="shared" si="7"/>
        <v>-19</v>
      </c>
      <c r="J75" s="24">
        <v>803</v>
      </c>
      <c r="K75" s="24">
        <v>782</v>
      </c>
      <c r="L75" s="24">
        <f t="shared" si="8"/>
        <v>-21</v>
      </c>
    </row>
    <row r="76" spans="1:12" s="26" customFormat="1" ht="12.75" x14ac:dyDescent="0.2">
      <c r="A76" s="25" t="s">
        <v>12</v>
      </c>
      <c r="B76" s="12">
        <v>-110</v>
      </c>
      <c r="C76" s="12">
        <v>8.3500000000000005E-2</v>
      </c>
      <c r="D76" s="12">
        <v>1079</v>
      </c>
      <c r="E76" s="12">
        <v>20082</v>
      </c>
      <c r="F76" s="12">
        <v>78</v>
      </c>
      <c r="G76" s="25">
        <v>205</v>
      </c>
      <c r="H76" s="25">
        <v>208</v>
      </c>
      <c r="I76" s="25">
        <f t="shared" ref="I76:I103" si="11">H76-G76</f>
        <v>3</v>
      </c>
      <c r="J76" s="25">
        <v>802</v>
      </c>
      <c r="K76" s="25">
        <v>801</v>
      </c>
      <c r="L76" s="25">
        <f t="shared" ref="L76:L103" si="12">K76-J76</f>
        <v>-1</v>
      </c>
    </row>
    <row r="77" spans="1:12" s="20" customFormat="1" ht="12.75" x14ac:dyDescent="0.2">
      <c r="A77" s="24" t="s">
        <v>11</v>
      </c>
      <c r="B77" s="3">
        <v>-125</v>
      </c>
      <c r="C77" s="3">
        <v>8.3500000000000005E-2</v>
      </c>
      <c r="D77" s="3">
        <v>1079</v>
      </c>
      <c r="E77" s="3">
        <v>20082</v>
      </c>
      <c r="F77" s="3">
        <v>78</v>
      </c>
      <c r="G77" s="24">
        <v>214</v>
      </c>
      <c r="H77" s="24">
        <v>188</v>
      </c>
      <c r="I77" s="24">
        <f t="shared" si="11"/>
        <v>-26</v>
      </c>
      <c r="J77" s="24">
        <v>820</v>
      </c>
      <c r="K77" s="24">
        <v>799</v>
      </c>
      <c r="L77" s="24">
        <f t="shared" si="12"/>
        <v>-21</v>
      </c>
    </row>
    <row r="78" spans="1:12" s="26" customFormat="1" ht="12.75" x14ac:dyDescent="0.2">
      <c r="A78" s="25" t="s">
        <v>11</v>
      </c>
      <c r="B78" s="12">
        <v>-100</v>
      </c>
      <c r="C78" s="12">
        <v>8.3500000000000005E-2</v>
      </c>
      <c r="D78" s="12">
        <v>1079</v>
      </c>
      <c r="E78" s="12">
        <v>20082</v>
      </c>
      <c r="F78" s="12">
        <v>78</v>
      </c>
      <c r="G78" s="25">
        <v>214</v>
      </c>
      <c r="H78" s="25">
        <v>214</v>
      </c>
      <c r="I78" s="25">
        <f t="shared" si="11"/>
        <v>0</v>
      </c>
      <c r="J78" s="25">
        <v>798</v>
      </c>
      <c r="K78" s="25">
        <v>792</v>
      </c>
      <c r="L78" s="25">
        <f t="shared" si="12"/>
        <v>-6</v>
      </c>
    </row>
    <row r="79" spans="1:12" s="20" customFormat="1" ht="12.75" x14ac:dyDescent="0.2">
      <c r="A79" s="24" t="s">
        <v>54</v>
      </c>
      <c r="B79" s="3">
        <v>-85</v>
      </c>
      <c r="C79" s="3">
        <v>8.4000000000000005E-2</v>
      </c>
      <c r="D79" s="3"/>
      <c r="E79" s="3"/>
      <c r="F79" s="3"/>
      <c r="G79" s="24">
        <v>200</v>
      </c>
      <c r="H79" s="24">
        <v>219</v>
      </c>
      <c r="I79" s="24">
        <f t="shared" si="11"/>
        <v>19</v>
      </c>
      <c r="J79" s="24">
        <v>817</v>
      </c>
      <c r="K79" s="24">
        <v>842</v>
      </c>
      <c r="L79" s="24">
        <f t="shared" si="12"/>
        <v>25</v>
      </c>
    </row>
    <row r="80" spans="1:12" s="20" customFormat="1" ht="12.75" x14ac:dyDescent="0.2">
      <c r="A80" s="24" t="s">
        <v>54</v>
      </c>
      <c r="B80" s="3">
        <v>-105</v>
      </c>
      <c r="C80" s="3">
        <v>8.3500000000000005E-2</v>
      </c>
      <c r="D80" s="3"/>
      <c r="E80" s="3"/>
      <c r="F80" s="3"/>
      <c r="G80" s="24">
        <v>199</v>
      </c>
      <c r="H80" s="24">
        <v>195</v>
      </c>
      <c r="I80" s="24">
        <f t="shared" si="11"/>
        <v>-4</v>
      </c>
      <c r="J80" s="24">
        <v>799</v>
      </c>
      <c r="K80" s="24">
        <v>805</v>
      </c>
      <c r="L80" s="24">
        <f t="shared" si="12"/>
        <v>6</v>
      </c>
    </row>
    <row r="81" spans="1:12" s="26" customFormat="1" ht="12.75" x14ac:dyDescent="0.2">
      <c r="A81" s="25" t="s">
        <v>54</v>
      </c>
      <c r="B81" s="12">
        <v>-100</v>
      </c>
      <c r="C81" s="12">
        <v>8.2500000000000004E-2</v>
      </c>
      <c r="D81" s="12"/>
      <c r="E81" s="12"/>
      <c r="F81" s="12"/>
      <c r="G81" s="25">
        <v>205</v>
      </c>
      <c r="H81" s="25">
        <v>207</v>
      </c>
      <c r="I81" s="25">
        <f t="shared" si="11"/>
        <v>2</v>
      </c>
      <c r="J81" s="25">
        <v>799</v>
      </c>
      <c r="K81" s="25">
        <v>805</v>
      </c>
      <c r="L81" s="25">
        <f t="shared" si="12"/>
        <v>6</v>
      </c>
    </row>
    <row r="82" spans="1:12" s="20" customFormat="1" ht="12.75" x14ac:dyDescent="0.2">
      <c r="A82" s="32" t="s">
        <v>56</v>
      </c>
      <c r="B82" s="3">
        <v>-85</v>
      </c>
      <c r="C82" s="3">
        <v>8.2500000000000004E-2</v>
      </c>
      <c r="D82" s="3"/>
      <c r="E82" s="3"/>
      <c r="F82" s="3"/>
      <c r="G82" s="24">
        <v>217</v>
      </c>
      <c r="H82" s="24">
        <v>197</v>
      </c>
      <c r="I82" s="24">
        <f t="shared" si="11"/>
        <v>-20</v>
      </c>
      <c r="J82" s="24">
        <v>817</v>
      </c>
      <c r="K82" s="24">
        <v>785</v>
      </c>
      <c r="L82" s="24">
        <f t="shared" si="12"/>
        <v>-32</v>
      </c>
    </row>
    <row r="83" spans="1:12" s="20" customFormat="1" ht="12.75" x14ac:dyDescent="0.2">
      <c r="A83" s="32" t="s">
        <v>55</v>
      </c>
      <c r="B83" s="3">
        <v>-70</v>
      </c>
      <c r="C83" s="3">
        <v>8.4000000000000005E-2</v>
      </c>
      <c r="D83" s="3"/>
      <c r="E83" s="3"/>
      <c r="F83" s="3"/>
      <c r="G83" s="24">
        <v>215</v>
      </c>
      <c r="H83" s="24">
        <v>221</v>
      </c>
      <c r="I83" s="24">
        <f t="shared" si="11"/>
        <v>6</v>
      </c>
      <c r="J83" s="24">
        <v>816</v>
      </c>
      <c r="K83" s="24">
        <v>834</v>
      </c>
      <c r="L83" s="24">
        <f t="shared" si="12"/>
        <v>18</v>
      </c>
    </row>
    <row r="84" spans="1:12" s="20" customFormat="1" ht="12.75" x14ac:dyDescent="0.2">
      <c r="A84" s="32" t="s">
        <v>55</v>
      </c>
      <c r="B84" s="3">
        <v>-70</v>
      </c>
      <c r="C84" s="3">
        <v>8.3000000000000004E-2</v>
      </c>
      <c r="D84" s="3"/>
      <c r="E84" s="3"/>
      <c r="F84" s="3"/>
      <c r="G84" s="24">
        <v>215</v>
      </c>
      <c r="H84" s="24">
        <v>221</v>
      </c>
      <c r="I84" s="24">
        <f t="shared" si="11"/>
        <v>6</v>
      </c>
      <c r="J84" s="24">
        <v>798</v>
      </c>
      <c r="K84" s="24">
        <v>790</v>
      </c>
      <c r="L84" s="24">
        <f t="shared" si="12"/>
        <v>-8</v>
      </c>
    </row>
    <row r="85" spans="1:12" s="20" customFormat="1" ht="12.75" x14ac:dyDescent="0.2">
      <c r="A85" s="32" t="s">
        <v>55</v>
      </c>
      <c r="B85" s="3">
        <v>-80</v>
      </c>
      <c r="C85" s="3">
        <v>8.4000000000000005E-2</v>
      </c>
      <c r="D85" s="3"/>
      <c r="E85" s="3"/>
      <c r="F85" s="3"/>
      <c r="G85" s="24">
        <v>198</v>
      </c>
      <c r="H85" s="24">
        <v>197</v>
      </c>
      <c r="I85" s="24">
        <f t="shared" si="11"/>
        <v>-1</v>
      </c>
      <c r="J85" s="24">
        <v>798</v>
      </c>
      <c r="K85" s="24">
        <v>790</v>
      </c>
      <c r="L85" s="24">
        <f t="shared" si="12"/>
        <v>-8</v>
      </c>
    </row>
    <row r="86" spans="1:12" s="26" customFormat="1" ht="12.75" x14ac:dyDescent="0.2">
      <c r="A86" s="33" t="s">
        <v>55</v>
      </c>
      <c r="B86" s="12">
        <v>-80</v>
      </c>
      <c r="C86" s="12">
        <v>8.4500000000000006E-2</v>
      </c>
      <c r="D86" s="12"/>
      <c r="E86" s="12"/>
      <c r="F86" s="12"/>
      <c r="G86" s="25">
        <v>198</v>
      </c>
      <c r="H86" s="25">
        <v>198</v>
      </c>
      <c r="I86" s="25">
        <f t="shared" si="11"/>
        <v>0</v>
      </c>
      <c r="J86" s="25">
        <v>798</v>
      </c>
      <c r="K86" s="25">
        <v>803</v>
      </c>
      <c r="L86" s="25">
        <f t="shared" si="12"/>
        <v>5</v>
      </c>
    </row>
    <row r="87" spans="1:12" s="20" customFormat="1" ht="12.75" x14ac:dyDescent="0.2">
      <c r="A87" s="32" t="s">
        <v>57</v>
      </c>
      <c r="B87" s="30">
        <v>-80</v>
      </c>
      <c r="C87" s="3">
        <v>8.4500000000000006E-2</v>
      </c>
      <c r="D87" s="3"/>
      <c r="E87" s="3"/>
      <c r="F87" s="3"/>
      <c r="G87" s="24">
        <v>195</v>
      </c>
      <c r="H87" s="24">
        <v>198</v>
      </c>
      <c r="I87" s="24">
        <f t="shared" si="11"/>
        <v>3</v>
      </c>
      <c r="J87" s="24">
        <v>793</v>
      </c>
      <c r="K87" s="24">
        <v>804</v>
      </c>
      <c r="L87" s="24">
        <f t="shared" si="12"/>
        <v>11</v>
      </c>
    </row>
    <row r="88" spans="1:12" s="26" customFormat="1" ht="12.75" x14ac:dyDescent="0.2">
      <c r="A88" s="33" t="s">
        <v>57</v>
      </c>
      <c r="B88" s="31">
        <v>-80</v>
      </c>
      <c r="C88" s="12">
        <v>8.4500000000000006E-2</v>
      </c>
      <c r="D88" s="12"/>
      <c r="E88" s="12"/>
      <c r="F88" s="12"/>
      <c r="G88" s="25">
        <v>198</v>
      </c>
      <c r="H88" s="25">
        <v>197</v>
      </c>
      <c r="I88" s="25">
        <f t="shared" si="11"/>
        <v>-1</v>
      </c>
      <c r="J88" s="25">
        <v>810</v>
      </c>
      <c r="K88" s="25">
        <v>815</v>
      </c>
      <c r="L88" s="25">
        <f t="shared" si="12"/>
        <v>5</v>
      </c>
    </row>
    <row r="89" spans="1:12" s="20" customFormat="1" ht="12.75" x14ac:dyDescent="0.2">
      <c r="A89" s="32" t="s">
        <v>59</v>
      </c>
      <c r="B89" s="3">
        <v>-100</v>
      </c>
      <c r="C89" s="3">
        <v>8.3000000000000004E-2</v>
      </c>
      <c r="D89" s="3"/>
      <c r="E89" s="3"/>
      <c r="F89" s="3"/>
      <c r="G89" s="24">
        <v>211</v>
      </c>
      <c r="H89" s="24">
        <v>219</v>
      </c>
      <c r="I89" s="24">
        <f t="shared" si="11"/>
        <v>8</v>
      </c>
      <c r="J89" s="24">
        <v>807</v>
      </c>
      <c r="K89" s="24">
        <v>822</v>
      </c>
      <c r="L89" s="24">
        <f t="shared" si="12"/>
        <v>15</v>
      </c>
    </row>
    <row r="90" spans="1:12" s="20" customFormat="1" ht="12.75" x14ac:dyDescent="0.2">
      <c r="A90" s="32" t="s">
        <v>59</v>
      </c>
      <c r="B90" s="3">
        <v>-100</v>
      </c>
      <c r="C90" s="3">
        <v>8.4000000000000005E-2</v>
      </c>
      <c r="D90" s="3"/>
      <c r="E90" s="3"/>
      <c r="F90" s="3"/>
      <c r="G90" s="24">
        <v>217</v>
      </c>
      <c r="H90" s="24">
        <v>231</v>
      </c>
      <c r="I90" s="24">
        <f t="shared" si="11"/>
        <v>14</v>
      </c>
      <c r="J90" s="24">
        <v>800</v>
      </c>
      <c r="K90" s="24">
        <v>822</v>
      </c>
      <c r="L90" s="24">
        <f t="shared" si="12"/>
        <v>22</v>
      </c>
    </row>
    <row r="91" spans="1:12" s="26" customFormat="1" ht="12.75" x14ac:dyDescent="0.2">
      <c r="A91" s="33" t="s">
        <v>59</v>
      </c>
      <c r="B91" s="12">
        <v>-110</v>
      </c>
      <c r="C91" s="12">
        <v>8.3000000000000004E-2</v>
      </c>
      <c r="D91" s="12"/>
      <c r="E91" s="12"/>
      <c r="F91" s="12"/>
      <c r="G91" s="25">
        <v>219</v>
      </c>
      <c r="H91" s="25">
        <v>220</v>
      </c>
      <c r="I91" s="25">
        <f t="shared" si="11"/>
        <v>1</v>
      </c>
      <c r="J91" s="25">
        <v>807</v>
      </c>
      <c r="K91" s="25">
        <v>806</v>
      </c>
      <c r="L91" s="25">
        <f t="shared" si="12"/>
        <v>-1</v>
      </c>
    </row>
    <row r="92" spans="1:12" s="20" customFormat="1" ht="12.75" x14ac:dyDescent="0.2">
      <c r="A92" s="32" t="s">
        <v>60</v>
      </c>
      <c r="B92" s="3">
        <v>-100</v>
      </c>
      <c r="C92" s="3">
        <v>8.3000000000000004E-2</v>
      </c>
      <c r="D92" s="3"/>
      <c r="E92" s="3"/>
      <c r="F92" s="3"/>
      <c r="G92" s="24">
        <v>199</v>
      </c>
      <c r="H92" s="24">
        <v>160</v>
      </c>
      <c r="I92" s="24">
        <f t="shared" si="11"/>
        <v>-39</v>
      </c>
      <c r="J92" s="24">
        <v>804</v>
      </c>
      <c r="K92" s="24">
        <v>785</v>
      </c>
      <c r="L92" s="24">
        <f t="shared" si="12"/>
        <v>-19</v>
      </c>
    </row>
    <row r="93" spans="1:12" s="20" customFormat="1" ht="12.75" x14ac:dyDescent="0.2">
      <c r="A93" s="32" t="s">
        <v>60</v>
      </c>
      <c r="B93" s="3">
        <v>-60</v>
      </c>
      <c r="C93" s="3">
        <v>8.2500000000000004E-2</v>
      </c>
      <c r="D93" s="3"/>
      <c r="E93" s="3"/>
      <c r="F93" s="3"/>
      <c r="G93" s="24">
        <v>205</v>
      </c>
      <c r="H93" s="24">
        <v>208</v>
      </c>
      <c r="I93" s="24">
        <f t="shared" si="11"/>
        <v>3</v>
      </c>
      <c r="J93" s="24">
        <v>812</v>
      </c>
      <c r="K93" s="24">
        <v>823</v>
      </c>
      <c r="L93" s="24">
        <f t="shared" si="12"/>
        <v>11</v>
      </c>
    </row>
    <row r="94" spans="1:12" s="20" customFormat="1" ht="12.75" x14ac:dyDescent="0.2">
      <c r="A94" s="33" t="s">
        <v>60</v>
      </c>
      <c r="B94" s="12">
        <v>-60</v>
      </c>
      <c r="C94" s="12">
        <v>8.1500000000000003E-2</v>
      </c>
      <c r="D94" s="12"/>
      <c r="E94" s="12"/>
      <c r="F94" s="12"/>
      <c r="G94" s="25">
        <v>212</v>
      </c>
      <c r="H94" s="25">
        <v>210</v>
      </c>
      <c r="I94" s="25">
        <f t="shared" si="11"/>
        <v>-2</v>
      </c>
      <c r="J94" s="25">
        <v>812</v>
      </c>
      <c r="K94" s="25">
        <v>812</v>
      </c>
      <c r="L94" s="25">
        <f t="shared" si="12"/>
        <v>0</v>
      </c>
    </row>
    <row r="95" spans="1:12" s="20" customFormat="1" ht="12.75" x14ac:dyDescent="0.2">
      <c r="A95" s="32" t="s">
        <v>61</v>
      </c>
      <c r="B95" s="3">
        <v>-60</v>
      </c>
      <c r="C95" s="3">
        <v>8.1500000000000003E-2</v>
      </c>
      <c r="D95" s="3"/>
      <c r="E95" s="3"/>
      <c r="F95" s="3"/>
      <c r="G95" s="24">
        <v>202</v>
      </c>
      <c r="H95" s="24">
        <v>231</v>
      </c>
      <c r="I95" s="24">
        <f t="shared" si="11"/>
        <v>29</v>
      </c>
      <c r="J95" s="24">
        <v>782</v>
      </c>
      <c r="K95" s="24">
        <v>808</v>
      </c>
      <c r="L95" s="24">
        <f t="shared" si="12"/>
        <v>26</v>
      </c>
    </row>
    <row r="96" spans="1:12" s="20" customFormat="1" ht="12.75" x14ac:dyDescent="0.2">
      <c r="A96" s="32" t="s">
        <v>61</v>
      </c>
      <c r="B96" s="3">
        <v>-90</v>
      </c>
      <c r="C96" s="3">
        <v>8.2500000000000004E-2</v>
      </c>
      <c r="D96" s="3"/>
      <c r="E96" s="3"/>
      <c r="F96" s="3"/>
      <c r="G96" s="24">
        <v>212</v>
      </c>
      <c r="H96" s="24">
        <v>208</v>
      </c>
      <c r="I96" s="24">
        <f t="shared" si="11"/>
        <v>-4</v>
      </c>
      <c r="J96" s="24">
        <v>790</v>
      </c>
      <c r="K96" s="24">
        <v>797</v>
      </c>
      <c r="L96" s="24">
        <f t="shared" si="12"/>
        <v>7</v>
      </c>
    </row>
    <row r="97" spans="1:12" s="20" customFormat="1" ht="12.75" x14ac:dyDescent="0.2">
      <c r="A97" s="33" t="s">
        <v>61</v>
      </c>
      <c r="B97" s="12">
        <v>-85</v>
      </c>
      <c r="C97" s="12">
        <v>8.1500000000000003E-2</v>
      </c>
      <c r="D97" s="12"/>
      <c r="E97" s="12"/>
      <c r="F97" s="12"/>
      <c r="G97" s="25">
        <v>208</v>
      </c>
      <c r="H97" s="25">
        <v>208</v>
      </c>
      <c r="I97" s="25">
        <f t="shared" si="11"/>
        <v>0</v>
      </c>
      <c r="J97" s="25">
        <v>799</v>
      </c>
      <c r="K97" s="25">
        <v>796</v>
      </c>
      <c r="L97" s="25">
        <f t="shared" si="12"/>
        <v>-3</v>
      </c>
    </row>
    <row r="98" spans="1:12" s="20" customFormat="1" ht="12.75" x14ac:dyDescent="0.2">
      <c r="A98" s="24"/>
      <c r="B98" s="3"/>
      <c r="C98" s="3"/>
      <c r="D98" s="3"/>
      <c r="E98" s="3"/>
      <c r="F98" s="3"/>
      <c r="G98" s="24"/>
      <c r="H98" s="24"/>
      <c r="I98" s="24">
        <f t="shared" si="11"/>
        <v>0</v>
      </c>
      <c r="J98" s="24"/>
      <c r="K98" s="24"/>
      <c r="L98" s="24">
        <f t="shared" si="12"/>
        <v>0</v>
      </c>
    </row>
    <row r="99" spans="1:12" s="20" customFormat="1" ht="12.75" x14ac:dyDescent="0.2">
      <c r="A99" s="24"/>
      <c r="B99" s="3"/>
      <c r="C99" s="3"/>
      <c r="D99" s="3"/>
      <c r="E99" s="3"/>
      <c r="F99" s="3"/>
      <c r="G99" s="24"/>
      <c r="H99" s="24"/>
      <c r="I99" s="24">
        <f t="shared" si="11"/>
        <v>0</v>
      </c>
      <c r="J99" s="24"/>
      <c r="K99" s="24"/>
      <c r="L99" s="24">
        <f t="shared" si="12"/>
        <v>0</v>
      </c>
    </row>
    <row r="100" spans="1:12" s="20" customFormat="1" ht="12.75" x14ac:dyDescent="0.2">
      <c r="A100" s="24"/>
      <c r="B100" s="3"/>
      <c r="C100" s="3"/>
      <c r="D100" s="3"/>
      <c r="E100" s="3"/>
      <c r="F100" s="3"/>
      <c r="G100" s="24"/>
      <c r="H100" s="24"/>
      <c r="I100" s="24">
        <f t="shared" si="11"/>
        <v>0</v>
      </c>
      <c r="J100" s="24"/>
      <c r="K100" s="24"/>
      <c r="L100" s="24">
        <f t="shared" si="12"/>
        <v>0</v>
      </c>
    </row>
    <row r="101" spans="1:12" s="20" customFormat="1" ht="12.75" x14ac:dyDescent="0.2">
      <c r="A101" s="24"/>
      <c r="B101" s="3"/>
      <c r="C101" s="3"/>
      <c r="D101" s="3"/>
      <c r="E101" s="3"/>
      <c r="F101" s="3"/>
      <c r="G101" s="24"/>
      <c r="H101" s="24"/>
      <c r="I101" s="24">
        <f t="shared" si="11"/>
        <v>0</v>
      </c>
      <c r="J101" s="24"/>
      <c r="K101" s="24"/>
      <c r="L101" s="24">
        <f t="shared" si="12"/>
        <v>0</v>
      </c>
    </row>
    <row r="102" spans="1:12" s="20" customFormat="1" ht="12.75" x14ac:dyDescent="0.2">
      <c r="A102" s="24"/>
      <c r="B102" s="3"/>
      <c r="C102" s="3"/>
      <c r="D102" s="3"/>
      <c r="E102" s="3"/>
      <c r="F102" s="3"/>
      <c r="G102" s="24"/>
      <c r="H102" s="24"/>
      <c r="I102" s="24">
        <f t="shared" si="11"/>
        <v>0</v>
      </c>
      <c r="J102" s="24"/>
      <c r="K102" s="24"/>
      <c r="L102" s="24">
        <f t="shared" si="12"/>
        <v>0</v>
      </c>
    </row>
    <row r="103" spans="1:12" s="20" customFormat="1" ht="12.75" x14ac:dyDescent="0.2">
      <c r="A103" s="24"/>
      <c r="B103" s="3"/>
      <c r="C103" s="3"/>
      <c r="D103" s="3"/>
      <c r="E103" s="3"/>
      <c r="F103" s="3"/>
      <c r="G103" s="24"/>
      <c r="H103" s="24"/>
      <c r="I103" s="24">
        <f t="shared" si="11"/>
        <v>0</v>
      </c>
      <c r="J103" s="24"/>
      <c r="K103" s="24"/>
      <c r="L103" s="24">
        <f t="shared" si="12"/>
        <v>0</v>
      </c>
    </row>
  </sheetData>
  <mergeCells count="5">
    <mergeCell ref="A2:A3"/>
    <mergeCell ref="B2:B3"/>
    <mergeCell ref="G2:H2"/>
    <mergeCell ref="J2:K2"/>
    <mergeCell ref="C2:C3"/>
  </mergeCells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CAC6A-A2F1-42C1-97B9-04E0423EAFFE}">
  <dimension ref="A1:F21"/>
  <sheetViews>
    <sheetView workbookViewId="0">
      <selection activeCell="D8" sqref="D8:D10"/>
    </sheetView>
  </sheetViews>
  <sheetFormatPr defaultRowHeight="15.75" x14ac:dyDescent="0.25"/>
  <cols>
    <col min="1" max="16384" width="9" style="9"/>
  </cols>
  <sheetData>
    <row r="1" spans="1:6" ht="19.5" x14ac:dyDescent="0.3">
      <c r="A1" s="11" t="s">
        <v>18</v>
      </c>
    </row>
    <row r="2" spans="1:6" x14ac:dyDescent="0.25">
      <c r="A2" s="9" t="s">
        <v>19</v>
      </c>
    </row>
    <row r="3" spans="1:6" x14ac:dyDescent="0.25">
      <c r="A3" s="10" t="s">
        <v>20</v>
      </c>
      <c r="B3" s="10">
        <v>0.01</v>
      </c>
      <c r="C3" s="10">
        <v>0.02</v>
      </c>
      <c r="D3" s="10">
        <v>0.03</v>
      </c>
      <c r="E3" s="10">
        <v>0.05</v>
      </c>
      <c r="F3" s="9" t="s">
        <v>32</v>
      </c>
    </row>
    <row r="4" spans="1:6" x14ac:dyDescent="0.25">
      <c r="A4" s="10" t="s">
        <v>23</v>
      </c>
      <c r="B4" s="10">
        <v>10</v>
      </c>
      <c r="C4" s="10">
        <v>20</v>
      </c>
      <c r="D4" s="10">
        <v>30</v>
      </c>
      <c r="E4" s="10">
        <v>50</v>
      </c>
    </row>
    <row r="5" spans="1:6" x14ac:dyDescent="0.25">
      <c r="A5" s="10" t="s">
        <v>24</v>
      </c>
      <c r="B5" s="10">
        <v>10</v>
      </c>
      <c r="C5" s="10">
        <v>20</v>
      </c>
      <c r="D5" s="10">
        <v>30</v>
      </c>
      <c r="E5" s="10">
        <v>52</v>
      </c>
    </row>
    <row r="7" spans="1:6" x14ac:dyDescent="0.25">
      <c r="A7" s="9" t="s">
        <v>21</v>
      </c>
    </row>
    <row r="8" spans="1:6" x14ac:dyDescent="0.25">
      <c r="A8" s="10" t="s">
        <v>20</v>
      </c>
      <c r="B8" s="10">
        <v>-10</v>
      </c>
      <c r="C8" s="10">
        <v>-20</v>
      </c>
      <c r="D8" s="10">
        <v>-50</v>
      </c>
      <c r="E8" s="10">
        <v>-100</v>
      </c>
    </row>
    <row r="9" spans="1:6" x14ac:dyDescent="0.25">
      <c r="A9" s="10" t="s">
        <v>23</v>
      </c>
      <c r="B9" s="10">
        <v>0</v>
      </c>
      <c r="C9" s="10">
        <v>1</v>
      </c>
      <c r="D9" s="10">
        <v>3</v>
      </c>
      <c r="E9" s="10">
        <v>5</v>
      </c>
    </row>
    <row r="10" spans="1:6" x14ac:dyDescent="0.25">
      <c r="A10" s="10" t="s">
        <v>24</v>
      </c>
      <c r="B10" s="10">
        <v>3</v>
      </c>
      <c r="C10" s="10">
        <v>6</v>
      </c>
      <c r="D10" s="10">
        <v>13</v>
      </c>
      <c r="E10" s="10">
        <v>26</v>
      </c>
    </row>
    <row r="12" spans="1:6" ht="19.5" x14ac:dyDescent="0.3">
      <c r="A12" s="11" t="s">
        <v>22</v>
      </c>
    </row>
    <row r="13" spans="1:6" x14ac:dyDescent="0.25">
      <c r="A13" s="9" t="s">
        <v>19</v>
      </c>
    </row>
    <row r="14" spans="1:6" x14ac:dyDescent="0.25">
      <c r="A14" s="10" t="s">
        <v>20</v>
      </c>
      <c r="B14" s="10">
        <v>-5</v>
      </c>
      <c r="C14" s="10">
        <v>-10</v>
      </c>
      <c r="D14" s="10">
        <v>-20</v>
      </c>
      <c r="E14" s="10">
        <v>-50</v>
      </c>
      <c r="F14" s="9" t="s">
        <v>32</v>
      </c>
    </row>
    <row r="15" spans="1:6" x14ac:dyDescent="0.25">
      <c r="A15" s="10" t="s">
        <v>23</v>
      </c>
      <c r="B15" s="10">
        <v>5</v>
      </c>
      <c r="C15" s="10">
        <v>10</v>
      </c>
      <c r="D15" s="10">
        <v>20</v>
      </c>
      <c r="E15" s="10">
        <v>50</v>
      </c>
    </row>
    <row r="16" spans="1:6" x14ac:dyDescent="0.25">
      <c r="A16" s="10" t="s">
        <v>24</v>
      </c>
      <c r="B16" s="10">
        <v>1</v>
      </c>
      <c r="C16" s="10">
        <v>7</v>
      </c>
      <c r="D16" s="10">
        <v>16</v>
      </c>
      <c r="E16" s="10">
        <v>41</v>
      </c>
    </row>
    <row r="18" spans="1:5" x14ac:dyDescent="0.25">
      <c r="A18" s="9" t="s">
        <v>21</v>
      </c>
    </row>
    <row r="19" spans="1:5" x14ac:dyDescent="0.25">
      <c r="A19" s="10" t="s">
        <v>20</v>
      </c>
      <c r="B19" s="10">
        <v>5.0000000000000001E-4</v>
      </c>
      <c r="C19" s="10">
        <v>1E-3</v>
      </c>
      <c r="D19" s="10">
        <v>2E-3</v>
      </c>
      <c r="E19" s="10">
        <v>5.0000000000000001E-3</v>
      </c>
    </row>
    <row r="20" spans="1:5" x14ac:dyDescent="0.25">
      <c r="A20" s="10" t="s">
        <v>23</v>
      </c>
      <c r="B20" s="10">
        <v>1</v>
      </c>
      <c r="C20" s="10">
        <v>5</v>
      </c>
      <c r="D20" s="10">
        <v>5</v>
      </c>
      <c r="E20" s="10">
        <v>15</v>
      </c>
    </row>
    <row r="21" spans="1:5" x14ac:dyDescent="0.25">
      <c r="A21" s="10" t="s">
        <v>24</v>
      </c>
      <c r="B21" s="10">
        <v>4</v>
      </c>
      <c r="C21" s="10">
        <v>8</v>
      </c>
      <c r="D21" s="10">
        <v>20</v>
      </c>
      <c r="E21" s="10">
        <v>47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input</vt:lpstr>
      <vt:lpstr>output</vt:lpstr>
      <vt:lpstr>effect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2022-12-26T14:16:40Z</dcterms:modified>
</cp:coreProperties>
</file>